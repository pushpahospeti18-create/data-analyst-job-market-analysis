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ASSIGNMENTS\"/>
    </mc:Choice>
  </mc:AlternateContent>
  <bookViews>
    <workbookView xWindow="0" yWindow="0" windowWidth="23040" windowHeight="10332" firstSheet="1" activeTab="5"/>
  </bookViews>
  <sheets>
    <sheet name="Data_Analyst_Job_Market_Messy_D" sheetId="1" r:id="rId1"/>
    <sheet name="raw_Data Sheet" sheetId="2" r:id="rId2"/>
    <sheet name="Cleaned_Sheet_job_analysis" sheetId="3" r:id="rId3"/>
    <sheet name="Skill_Analysis" sheetId="9" r:id="rId4"/>
    <sheet name=" Pivot table Analysis" sheetId="5" r:id="rId5"/>
    <sheet name="Dashboard" sheetId="11" r:id="rId6"/>
    <sheet name="Inshights" sheetId="7" r:id="rId7"/>
  </sheets>
  <definedNames>
    <definedName name="_xlnm._FilterDatabase" localSheetId="1" hidden="1">'raw_Data Sheet'!$A$1:$J$120</definedName>
  </definedNames>
  <calcPr calcId="162913"/>
  <pivotCaches>
    <pivotCache cacheId="43" r:id="rId8"/>
  </pivotCaches>
</workbook>
</file>

<file path=xl/calcChain.xml><?xml version="1.0" encoding="utf-8"?>
<calcChain xmlns="http://schemas.openxmlformats.org/spreadsheetml/2006/main">
  <c r="J7" i="9" l="1"/>
  <c r="J6" i="9"/>
  <c r="J5" i="9"/>
  <c r="J4" i="9"/>
  <c r="J3" i="9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2" i="3"/>
  <c r="D3" i="2"/>
  <c r="D7" i="2"/>
  <c r="D11" i="2"/>
  <c r="D12" i="2"/>
  <c r="D13" i="2"/>
  <c r="D14" i="2"/>
  <c r="D15" i="2"/>
  <c r="D19" i="2"/>
  <c r="D23" i="2"/>
  <c r="D24" i="2"/>
  <c r="D25" i="2"/>
  <c r="D26" i="2"/>
  <c r="D27" i="2"/>
  <c r="D31" i="2"/>
  <c r="D35" i="2"/>
  <c r="D36" i="2"/>
  <c r="D37" i="2"/>
  <c r="D38" i="2"/>
  <c r="D39" i="2"/>
  <c r="D43" i="2"/>
  <c r="D47" i="2"/>
  <c r="D48" i="2"/>
  <c r="D49" i="2"/>
  <c r="D50" i="2"/>
  <c r="D51" i="2"/>
  <c r="D55" i="2"/>
  <c r="D59" i="2"/>
  <c r="D60" i="2"/>
  <c r="D61" i="2"/>
  <c r="D62" i="2"/>
  <c r="D63" i="2"/>
  <c r="D67" i="2"/>
  <c r="D71" i="2"/>
  <c r="D72" i="2"/>
  <c r="D73" i="2"/>
  <c r="D74" i="2"/>
  <c r="D75" i="2"/>
  <c r="D79" i="2"/>
  <c r="D83" i="2"/>
  <c r="D84" i="2"/>
  <c r="D85" i="2"/>
  <c r="D86" i="2"/>
  <c r="D87" i="2"/>
  <c r="D91" i="2"/>
  <c r="D95" i="2"/>
  <c r="D96" i="2"/>
  <c r="D97" i="2"/>
  <c r="D98" i="2"/>
  <c r="D99" i="2"/>
  <c r="D103" i="2"/>
  <c r="D107" i="2"/>
  <c r="D108" i="2"/>
  <c r="D109" i="2"/>
  <c r="D110" i="2"/>
  <c r="D111" i="2"/>
  <c r="D115" i="2"/>
  <c r="D119" i="2"/>
  <c r="D120" i="2"/>
  <c r="D2" i="2"/>
  <c r="C3" i="2"/>
  <c r="C4" i="2"/>
  <c r="D4" i="2" s="1"/>
  <c r="C5" i="2"/>
  <c r="D5" i="2" s="1"/>
  <c r="C6" i="2"/>
  <c r="D6" i="2" s="1"/>
  <c r="C7" i="2"/>
  <c r="C8" i="2"/>
  <c r="D8" i="2" s="1"/>
  <c r="C9" i="2"/>
  <c r="D9" i="2" s="1"/>
  <c r="C10" i="2"/>
  <c r="D10" i="2" s="1"/>
  <c r="C11" i="2"/>
  <c r="C12" i="2"/>
  <c r="C13" i="2"/>
  <c r="C14" i="2"/>
  <c r="C15" i="2"/>
  <c r="C16" i="2"/>
  <c r="D16" i="2" s="1"/>
  <c r="C17" i="2"/>
  <c r="D17" i="2" s="1"/>
  <c r="C18" i="2"/>
  <c r="D18" i="2" s="1"/>
  <c r="C19" i="2"/>
  <c r="C20" i="2"/>
  <c r="D20" i="2" s="1"/>
  <c r="C21" i="2"/>
  <c r="D21" i="2" s="1"/>
  <c r="C22" i="2"/>
  <c r="D22" i="2" s="1"/>
  <c r="C23" i="2"/>
  <c r="C24" i="2"/>
  <c r="C25" i="2"/>
  <c r="C26" i="2"/>
  <c r="C27" i="2"/>
  <c r="C28" i="2"/>
  <c r="D28" i="2" s="1"/>
  <c r="C29" i="2"/>
  <c r="D29" i="2" s="1"/>
  <c r="C30" i="2"/>
  <c r="D30" i="2" s="1"/>
  <c r="C31" i="2"/>
  <c r="C32" i="2"/>
  <c r="D32" i="2" s="1"/>
  <c r="C33" i="2"/>
  <c r="D33" i="2" s="1"/>
  <c r="C34" i="2"/>
  <c r="D34" i="2" s="1"/>
  <c r="C35" i="2"/>
  <c r="C36" i="2"/>
  <c r="C37" i="2"/>
  <c r="C38" i="2"/>
  <c r="C39" i="2"/>
  <c r="C40" i="2"/>
  <c r="D40" i="2" s="1"/>
  <c r="C41" i="2"/>
  <c r="D41" i="2" s="1"/>
  <c r="C42" i="2"/>
  <c r="D42" i="2" s="1"/>
  <c r="C43" i="2"/>
  <c r="C44" i="2"/>
  <c r="D44" i="2" s="1"/>
  <c r="C45" i="2"/>
  <c r="D45" i="2" s="1"/>
  <c r="C46" i="2"/>
  <c r="D46" i="2" s="1"/>
  <c r="C47" i="2"/>
  <c r="C48" i="2"/>
  <c r="C49" i="2"/>
  <c r="C50" i="2"/>
  <c r="C51" i="2"/>
  <c r="C52" i="2"/>
  <c r="D52" i="2" s="1"/>
  <c r="C53" i="2"/>
  <c r="D53" i="2" s="1"/>
  <c r="C54" i="2"/>
  <c r="D54" i="2" s="1"/>
  <c r="C55" i="2"/>
  <c r="C56" i="2"/>
  <c r="D56" i="2" s="1"/>
  <c r="C57" i="2"/>
  <c r="D57" i="2" s="1"/>
  <c r="C58" i="2"/>
  <c r="D58" i="2" s="1"/>
  <c r="C59" i="2"/>
  <c r="C60" i="2"/>
  <c r="C61" i="2"/>
  <c r="C62" i="2"/>
  <c r="C63" i="2"/>
  <c r="C64" i="2"/>
  <c r="D64" i="2" s="1"/>
  <c r="C65" i="2"/>
  <c r="D65" i="2" s="1"/>
  <c r="C66" i="2"/>
  <c r="D66" i="2" s="1"/>
  <c r="C67" i="2"/>
  <c r="C68" i="2"/>
  <c r="D68" i="2" s="1"/>
  <c r="C69" i="2"/>
  <c r="D69" i="2" s="1"/>
  <c r="C70" i="2"/>
  <c r="D70" i="2" s="1"/>
  <c r="C71" i="2"/>
  <c r="C72" i="2"/>
  <c r="C73" i="2"/>
  <c r="C74" i="2"/>
  <c r="C75" i="2"/>
  <c r="C76" i="2"/>
  <c r="D76" i="2" s="1"/>
  <c r="C77" i="2"/>
  <c r="D77" i="2" s="1"/>
  <c r="C78" i="2"/>
  <c r="D78" i="2" s="1"/>
  <c r="C79" i="2"/>
  <c r="C80" i="2"/>
  <c r="D80" i="2" s="1"/>
  <c r="C81" i="2"/>
  <c r="D81" i="2" s="1"/>
  <c r="C82" i="2"/>
  <c r="D82" i="2" s="1"/>
  <c r="C83" i="2"/>
  <c r="C84" i="2"/>
  <c r="C85" i="2"/>
  <c r="C86" i="2"/>
  <c r="C87" i="2"/>
  <c r="C88" i="2"/>
  <c r="D88" i="2" s="1"/>
  <c r="C89" i="2"/>
  <c r="D89" i="2" s="1"/>
  <c r="C90" i="2"/>
  <c r="D90" i="2" s="1"/>
  <c r="C91" i="2"/>
  <c r="C92" i="2"/>
  <c r="D92" i="2" s="1"/>
  <c r="C93" i="2"/>
  <c r="D93" i="2" s="1"/>
  <c r="C94" i="2"/>
  <c r="D94" i="2" s="1"/>
  <c r="C95" i="2"/>
  <c r="C96" i="2"/>
  <c r="C97" i="2"/>
  <c r="C98" i="2"/>
  <c r="C99" i="2"/>
  <c r="C100" i="2"/>
  <c r="D100" i="2" s="1"/>
  <c r="C101" i="2"/>
  <c r="D101" i="2" s="1"/>
  <c r="C102" i="2"/>
  <c r="D102" i="2" s="1"/>
  <c r="C103" i="2"/>
  <c r="C104" i="2"/>
  <c r="D104" i="2" s="1"/>
  <c r="C105" i="2"/>
  <c r="D105" i="2" s="1"/>
  <c r="C106" i="2"/>
  <c r="D106" i="2" s="1"/>
  <c r="C107" i="2"/>
  <c r="C108" i="2"/>
  <c r="C109" i="2"/>
  <c r="C110" i="2"/>
  <c r="C111" i="2"/>
  <c r="C112" i="2"/>
  <c r="D112" i="2" s="1"/>
  <c r="C113" i="2"/>
  <c r="D113" i="2" s="1"/>
  <c r="C114" i="2"/>
  <c r="D114" i="2" s="1"/>
  <c r="C115" i="2"/>
  <c r="C116" i="2"/>
  <c r="D116" i="2" s="1"/>
  <c r="C117" i="2"/>
  <c r="D117" i="2" s="1"/>
  <c r="C118" i="2"/>
  <c r="D118" i="2" s="1"/>
  <c r="C119" i="2"/>
  <c r="C120" i="2"/>
  <c r="C2" i="2"/>
  <c r="L6" i="2"/>
  <c r="L4" i="2"/>
  <c r="L3" i="2"/>
  <c r="J2" i="2"/>
  <c r="J3" i="2"/>
  <c r="J120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</calcChain>
</file>

<file path=xl/sharedStrings.xml><?xml version="1.0" encoding="utf-8"?>
<sst xmlns="http://schemas.openxmlformats.org/spreadsheetml/2006/main" count="1223" uniqueCount="59">
  <si>
    <t>job_id</t>
  </si>
  <si>
    <t>company</t>
  </si>
  <si>
    <t>location</t>
  </si>
  <si>
    <t>experience_years</t>
  </si>
  <si>
    <t>salary_lpa</t>
  </si>
  <si>
    <t>skills</t>
  </si>
  <si>
    <t>posted_date</t>
  </si>
  <si>
    <t>Insight Corp</t>
  </si>
  <si>
    <t>SQL, Excel</t>
  </si>
  <si>
    <t>DataSphere</t>
  </si>
  <si>
    <t>Pune</t>
  </si>
  <si>
    <t>Python, Tableau</t>
  </si>
  <si>
    <t>TechNova</t>
  </si>
  <si>
    <t>Bengaluru</t>
  </si>
  <si>
    <t xml:space="preserve"> bengaluru</t>
  </si>
  <si>
    <t>sql,python</t>
  </si>
  <si>
    <t xml:space="preserve">TechNova </t>
  </si>
  <si>
    <t>Chennai</t>
  </si>
  <si>
    <t>SQL,Python,Power BI</t>
  </si>
  <si>
    <t>datasphere</t>
  </si>
  <si>
    <t>Hyderabad</t>
  </si>
  <si>
    <t>AIWorks</t>
  </si>
  <si>
    <t>Duplicate_Check ID</t>
  </si>
  <si>
    <t>Unknown</t>
  </si>
  <si>
    <t>Not Specified</t>
  </si>
  <si>
    <t>Clean_Company</t>
  </si>
  <si>
    <t>Final_Company</t>
  </si>
  <si>
    <t>Row Labels</t>
  </si>
  <si>
    <t>AIWORKS</t>
  </si>
  <si>
    <t>DATASPHERE</t>
  </si>
  <si>
    <t>INSIGHT CORP</t>
  </si>
  <si>
    <t>TECHNOVA</t>
  </si>
  <si>
    <t>Grand Total</t>
  </si>
  <si>
    <t>Count of job_id</t>
  </si>
  <si>
    <t>INSIGHTS</t>
  </si>
  <si>
    <t>Insight 1:</t>
  </si>
  <si>
    <t>DATASPHERE has the highest number of job postings in the dataset.</t>
  </si>
  <si>
    <t>Bengaluru has the highest hiring demand with 40 job postings, followed by Pune and Hyderabad.</t>
  </si>
  <si>
    <t>Insight 2:</t>
  </si>
  <si>
    <t>Location</t>
  </si>
  <si>
    <t>Average of salary_lpa</t>
  </si>
  <si>
    <t>Among all companies, AIWORKS provides the highest average salary, indicating comparatively stronger compensation levels.</t>
  </si>
  <si>
    <t>Insight 3:</t>
  </si>
  <si>
    <t>The majority of job postings (63.9%) target candidates with 0–1 years of experience, indicating strong opportunities for freshers</t>
  </si>
  <si>
    <t>Insight 4:</t>
  </si>
  <si>
    <t>SQL, EXCEL</t>
  </si>
  <si>
    <t>PYTHON, TABLEAU</t>
  </si>
  <si>
    <t>NOT SPECIFIED</t>
  </si>
  <si>
    <t>SQL,PYTHON</t>
  </si>
  <si>
    <t>SQL,PYTHON,POWER BI</t>
  </si>
  <si>
    <t>Skill</t>
  </si>
  <si>
    <t>SQL</t>
  </si>
  <si>
    <t>PYTHON</t>
  </si>
  <si>
    <t>POWER BI</t>
  </si>
  <si>
    <t>EXCEL</t>
  </si>
  <si>
    <t>TABLEAU</t>
  </si>
  <si>
    <t>Python is the most frequently requested skill, appearing in 77 job postings, followed by SQL (69 postings).</t>
  </si>
  <si>
    <t>Insight 5: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</si>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</sst>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10" xfId="0" applyBorder="1"/>
    <xf numFmtId="0" fontId="0" fillId="0" borderId="11" xfId="0" applyBorder="1"/>
    <xf numFmtId="0" fontId="19" fillId="33" borderId="10" xfId="0" applyFont="1" applyFill="1" applyBorder="1"/>
    <xf numFmtId="164" fontId="0" fillId="0" borderId="12" xfId="0" applyNumberFormat="1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0" fillId="0" borderId="16" xfId="0" applyBorder="1"/>
    <xf numFmtId="0" fontId="0" fillId="0" borderId="17" xfId="0" applyBorder="1"/>
    <xf numFmtId="164" fontId="0" fillId="0" borderId="18" xfId="0" applyNumberFormat="1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2" fontId="0" fillId="0" borderId="0" xfId="0" applyNumberFormat="1"/>
    <xf numFmtId="0" fontId="0" fillId="0" borderId="12" xfId="0" applyBorder="1"/>
    <xf numFmtId="0" fontId="0" fillId="34" borderId="12" xfId="0" applyFont="1" applyFill="1" applyBorder="1"/>
    <xf numFmtId="0" fontId="0" fillId="0" borderId="12" xfId="0" applyFont="1" applyBorder="1"/>
    <xf numFmtId="0" fontId="0" fillId="0" borderId="11" xfId="0" applyBorder="1" applyAlignment="1">
      <alignment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5" xfId="0" applyFont="1" applyBorder="1"/>
    <xf numFmtId="0" fontId="0" fillId="0" borderId="16" xfId="0" applyBorder="1" applyAlignment="1">
      <alignment vertical="center" wrapText="1"/>
    </xf>
    <xf numFmtId="0" fontId="20" fillId="0" borderId="0" xfId="0" applyFont="1" applyAlignment="1">
      <alignment horizontal="center" vertical="center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64" formatCode="dd\-mm\-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Python and SQL Dominated Job Requirements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Skill_Analysis!$J$2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Skill_Analysis!$I$3:$I$7</c:f>
              <c:strCache>
                <c:ptCount val="5"/>
                <c:pt idx="0">
                  <c:v>SQL</c:v>
                </c:pt>
                <c:pt idx="1">
                  <c:v>PYTHON</c:v>
                </c:pt>
                <c:pt idx="2">
                  <c:v>POWER BI</c:v>
                </c:pt>
                <c:pt idx="3">
                  <c:v>EXCEL</c:v>
                </c:pt>
                <c:pt idx="4">
                  <c:v>TABLEAU</c:v>
                </c:pt>
              </c:strCache>
            </c:strRef>
          </c:cat>
          <c:val>
            <c:numRef>
              <c:f>Skill_Analysis!$J$3:$J$7</c:f>
              <c:numCache>
                <c:formatCode>General</c:formatCode>
                <c:ptCount val="5"/>
                <c:pt idx="0">
                  <c:v>69</c:v>
                </c:pt>
                <c:pt idx="1">
                  <c:v>77</c:v>
                </c:pt>
                <c:pt idx="2">
                  <c:v>26</c:v>
                </c:pt>
                <c:pt idx="3">
                  <c:v>19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6-4315-9FF6-1DC4B8CB2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5078256"/>
        <c:axId val="1275080752"/>
      </c:barChart>
      <c:catAx>
        <c:axId val="12750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080752"/>
        <c:crosses val="autoZero"/>
        <c:auto val="1"/>
        <c:lblAlgn val="ctr"/>
        <c:lblOffset val="100"/>
        <c:noMultiLvlLbl val="0"/>
      </c:catAx>
      <c:valAx>
        <c:axId val="127508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07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[Data_Analyst_Job_Market_Analysis.xlsx] Pivot table Analysis!PivotTable11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DATASPHERE Was the Top Hiring Company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 table Analysis'!$B$10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Pivot table Analysis'!$A$11:$A$15</c:f>
              <c:strCache>
                <c:ptCount val="4"/>
                <c:pt idx="0">
                  <c:v>AIWORKS</c:v>
                </c:pt>
                <c:pt idx="1">
                  <c:v>DATASPHERE</c:v>
                </c:pt>
                <c:pt idx="2">
                  <c:v>INSIGHT CORP</c:v>
                </c:pt>
                <c:pt idx="3">
                  <c:v>TECHNOVA</c:v>
                </c:pt>
              </c:strCache>
            </c:strRef>
          </c:cat>
          <c:val>
            <c:numRef>
              <c:f>' Pivot table Analysis'!$B$11:$B$15</c:f>
              <c:numCache>
                <c:formatCode>General</c:formatCode>
                <c:ptCount val="4"/>
                <c:pt idx="0">
                  <c:v>14</c:v>
                </c:pt>
                <c:pt idx="1">
                  <c:v>44</c:v>
                </c:pt>
                <c:pt idx="2">
                  <c:v>19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F-4E9C-8EAA-9A239D6266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6140608"/>
        <c:axId val="1016144352"/>
      </c:barChart>
      <c:catAx>
        <c:axId val="101614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144352"/>
        <c:crosses val="autoZero"/>
        <c:auto val="1"/>
        <c:lblAlgn val="ctr"/>
        <c:lblOffset val="100"/>
        <c:noMultiLvlLbl val="0"/>
      </c:catAx>
      <c:valAx>
        <c:axId val="1016144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14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[Data_Analyst_Job_Market_Analysis.xlsx] Pivot table Analysis!PivotTable12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Bengaluru Was the Leading Hiring City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30176509186351708"/>
          <c:y val="0.2814359142607174"/>
          <c:w val="0.39369225721784779"/>
          <c:h val="0.65615376202974629"/>
        </c:manualLayout>
      </c:layout>
      <c:pieChart>
        <c:varyColors val="1"/>
        <c:ser>
          <c:idx val="0"/>
          <c:order val="0"/>
          <c:tx>
            <c:strRef>
              <c:f>' Pivot table Analysis'!$E$10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E3C-44E7-B245-66C666D53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E3C-44E7-B245-66C666D53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E3C-44E7-B245-66C666D53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E3C-44E7-B245-66C666D53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E3C-44E7-B245-66C666D531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 Pivot table Analysis'!$D$11:$D$16</c:f>
              <c:strCache>
                <c:ptCount val="5"/>
                <c:pt idx="0">
                  <c:v>Bengaluru</c:v>
                </c:pt>
                <c:pt idx="1">
                  <c:v>Chennai</c:v>
                </c:pt>
                <c:pt idx="2">
                  <c:v>Hyderabad</c:v>
                </c:pt>
                <c:pt idx="3">
                  <c:v>Pune</c:v>
                </c:pt>
                <c:pt idx="4">
                  <c:v>Unknown</c:v>
                </c:pt>
              </c:strCache>
            </c:strRef>
          </c:cat>
          <c:val>
            <c:numRef>
              <c:f>' Pivot table Analysis'!$E$11:$E$16</c:f>
              <c:numCache>
                <c:formatCode>General</c:formatCode>
                <c:ptCount val="5"/>
                <c:pt idx="0">
                  <c:v>40</c:v>
                </c:pt>
                <c:pt idx="1">
                  <c:v>17</c:v>
                </c:pt>
                <c:pt idx="2">
                  <c:v>20</c:v>
                </c:pt>
                <c:pt idx="3">
                  <c:v>26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3C-44E7-B245-66C666D5319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[Data_Analyst_Job_Market_Analysis.xlsx] Pivot table Analysis!PivotTable13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AIWORKS Offered the Highest Average Salary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Pivot table Analysis'!$H$10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Pivot table Analysis'!$G$11:$G$15</c:f>
              <c:strCache>
                <c:ptCount val="4"/>
                <c:pt idx="0">
                  <c:v>AIWORKS</c:v>
                </c:pt>
                <c:pt idx="1">
                  <c:v>DATASPHERE</c:v>
                </c:pt>
                <c:pt idx="2">
                  <c:v>INSIGHT CORP</c:v>
                </c:pt>
                <c:pt idx="3">
                  <c:v>TECHNOVA</c:v>
                </c:pt>
              </c:strCache>
            </c:strRef>
          </c:cat>
          <c:val>
            <c:numRef>
              <c:f>' Pivot table Analysis'!$H$11:$H$15</c:f>
              <c:numCache>
                <c:formatCode>0.00</c:formatCode>
                <c:ptCount val="4"/>
                <c:pt idx="0">
                  <c:v>7.8928571428571432</c:v>
                </c:pt>
                <c:pt idx="1">
                  <c:v>7.8181818181818183</c:v>
                </c:pt>
                <c:pt idx="2">
                  <c:v>7.2368421052631575</c:v>
                </c:pt>
                <c:pt idx="3">
                  <c:v>7.1428571428571432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8-41C8-9B2E-386D51A6A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8394496"/>
        <c:axId val="1118395744"/>
      </c:barChart>
      <c:catAx>
        <c:axId val="1118394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395744"/>
        <c:crosses val="autoZero"/>
        <c:auto val="1"/>
        <c:lblAlgn val="ctr"/>
        <c:lblOffset val="100"/>
        <c:noMultiLvlLbl val="0"/>
      </c:catAx>
      <c:valAx>
        <c:axId val="1118395744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39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[Data_Analyst_Job_Market_Analysis.xlsx] Pivot table Analysis!PivotTable14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Most Opportunities Targeted Freshers (0–1 Years)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 Pivot table Analysis'!$K$10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D4-4B20-B314-BD0B92EFDE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D4-4B20-B314-BD0B92EFDE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D4-4B20-B314-BD0B92EFDE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D4-4B20-B314-BD0B92EFDE1C}"/>
              </c:ext>
            </c:extLst>
          </c:dPt>
          <c:cat>
            <c:strRef>
              <c:f>' Pivot table Analysis'!$J$11:$J$15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 Pivot table Analysis'!$K$11:$K$15</c:f>
              <c:numCache>
                <c:formatCode>General</c:formatCode>
                <c:ptCount val="4"/>
                <c:pt idx="0">
                  <c:v>24</c:v>
                </c:pt>
                <c:pt idx="1">
                  <c:v>52</c:v>
                </c:pt>
                <c:pt idx="2">
                  <c:v>20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D4-4B20-B314-BD0B92EFD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175260</xdr:rowOff>
    </xdr:from>
    <xdr:to>
      <xdr:col>10</xdr:col>
      <xdr:colOff>906780</xdr:colOff>
      <xdr:row>3</xdr:row>
      <xdr:rowOff>68580</xdr:rowOff>
    </xdr:to>
    <xdr:sp macro="" textlink="">
      <xdr:nvSpPr>
        <xdr:cNvPr id="6" name="TextBox 5"/>
        <xdr:cNvSpPr txBox="1"/>
      </xdr:nvSpPr>
      <xdr:spPr>
        <a:xfrm>
          <a:off x="53340" y="175260"/>
          <a:ext cx="9273540" cy="4419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tx1"/>
              </a:solidFill>
            </a:rPr>
            <a:t>JOB MARKET ANALYSIS - PIVOT TABLES</a:t>
          </a:r>
        </a:p>
      </xdr:txBody>
    </xdr:sp>
    <xdr:clientData/>
  </xdr:twoCellAnchor>
  <xdr:twoCellAnchor>
    <xdr:from>
      <xdr:col>0</xdr:col>
      <xdr:colOff>30480</xdr:colOff>
      <xdr:row>6</xdr:row>
      <xdr:rowOff>22860</xdr:rowOff>
    </xdr:from>
    <xdr:to>
      <xdr:col>1</xdr:col>
      <xdr:colOff>967740</xdr:colOff>
      <xdr:row>8</xdr:row>
      <xdr:rowOff>129540</xdr:rowOff>
    </xdr:to>
    <xdr:sp macro="" textlink="">
      <xdr:nvSpPr>
        <xdr:cNvPr id="7" name="TextBox 6"/>
        <xdr:cNvSpPr txBox="1"/>
      </xdr:nvSpPr>
      <xdr:spPr>
        <a:xfrm>
          <a:off x="30480" y="1120140"/>
          <a:ext cx="2186940" cy="472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Company-wise Job Count Analysis</a:t>
          </a:r>
        </a:p>
      </xdr:txBody>
    </xdr:sp>
    <xdr:clientData/>
  </xdr:twoCellAnchor>
  <xdr:twoCellAnchor>
    <xdr:from>
      <xdr:col>2</xdr:col>
      <xdr:colOff>426720</xdr:colOff>
      <xdr:row>5</xdr:row>
      <xdr:rowOff>160020</xdr:rowOff>
    </xdr:from>
    <xdr:to>
      <xdr:col>5</xdr:col>
      <xdr:colOff>22860</xdr:colOff>
      <xdr:row>8</xdr:row>
      <xdr:rowOff>114300</xdr:rowOff>
    </xdr:to>
    <xdr:sp macro="" textlink="">
      <xdr:nvSpPr>
        <xdr:cNvPr id="8" name="TextBox 7"/>
        <xdr:cNvSpPr txBox="1"/>
      </xdr:nvSpPr>
      <xdr:spPr>
        <a:xfrm>
          <a:off x="2651760" y="1074420"/>
          <a:ext cx="1882140" cy="502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Location-wise Job Count Analysis</a:t>
          </a:r>
        </a:p>
      </xdr:txBody>
    </xdr:sp>
    <xdr:clientData/>
  </xdr:twoCellAnchor>
  <xdr:twoCellAnchor>
    <xdr:from>
      <xdr:col>6</xdr:col>
      <xdr:colOff>22860</xdr:colOff>
      <xdr:row>6</xdr:row>
      <xdr:rowOff>83820</xdr:rowOff>
    </xdr:from>
    <xdr:to>
      <xdr:col>8</xdr:col>
      <xdr:colOff>0</xdr:colOff>
      <xdr:row>8</xdr:row>
      <xdr:rowOff>83820</xdr:rowOff>
    </xdr:to>
    <xdr:sp macro="" textlink="">
      <xdr:nvSpPr>
        <xdr:cNvPr id="9" name="TextBox 8"/>
        <xdr:cNvSpPr txBox="1"/>
      </xdr:nvSpPr>
      <xdr:spPr>
        <a:xfrm>
          <a:off x="4953000" y="1181100"/>
          <a:ext cx="2171700" cy="365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Average Salary Analysis</a:t>
          </a:r>
        </a:p>
      </xdr:txBody>
    </xdr:sp>
    <xdr:clientData/>
  </xdr:twoCellAnchor>
  <xdr:twoCellAnchor>
    <xdr:from>
      <xdr:col>8</xdr:col>
      <xdr:colOff>365760</xdr:colOff>
      <xdr:row>6</xdr:row>
      <xdr:rowOff>22860</xdr:rowOff>
    </xdr:from>
    <xdr:to>
      <xdr:col>11</xdr:col>
      <xdr:colOff>106680</xdr:colOff>
      <xdr:row>8</xdr:row>
      <xdr:rowOff>152400</xdr:rowOff>
    </xdr:to>
    <xdr:sp macro="" textlink="">
      <xdr:nvSpPr>
        <xdr:cNvPr id="10" name="TextBox 9"/>
        <xdr:cNvSpPr txBox="1"/>
      </xdr:nvSpPr>
      <xdr:spPr>
        <a:xfrm>
          <a:off x="7490460" y="1120140"/>
          <a:ext cx="2011680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Experience Requirement Analysis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21</xdr:row>
      <xdr:rowOff>220980</xdr:rowOff>
    </xdr:from>
    <xdr:to>
      <xdr:col>7</xdr:col>
      <xdr:colOff>7620</xdr:colOff>
      <xdr:row>33</xdr:row>
      <xdr:rowOff>53340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175260</xdr:rowOff>
    </xdr:from>
    <xdr:to>
      <xdr:col>5</xdr:col>
      <xdr:colOff>121920</xdr:colOff>
      <xdr:row>20</xdr:row>
      <xdr:rowOff>175260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7620</xdr:rowOff>
    </xdr:from>
    <xdr:to>
      <xdr:col>16</xdr:col>
      <xdr:colOff>15240</xdr:colOff>
      <xdr:row>3</xdr:row>
      <xdr:rowOff>22860</xdr:rowOff>
    </xdr:to>
    <xdr:sp macro="" textlink="">
      <xdr:nvSpPr>
        <xdr:cNvPr id="4" name="TextBox 3"/>
        <xdr:cNvSpPr txBox="1"/>
      </xdr:nvSpPr>
      <xdr:spPr>
        <a:xfrm>
          <a:off x="0" y="7620"/>
          <a:ext cx="9768840" cy="56388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         </a:t>
          </a:r>
          <a:r>
            <a:rPr lang="en-US" sz="2400" b="1"/>
            <a:t>DATA ANALYST JOB MARKET ANALYSIS DASHBOARD</a:t>
          </a:r>
          <a:r>
            <a:rPr lang="en-US" sz="1600" b="1"/>
            <a:t>              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Dataset Size: 119 Job Postings</a:t>
          </a:r>
          <a:endParaRPr lang="en-US" sz="1600">
            <a:effectLst/>
          </a:endParaRPr>
        </a:p>
      </xdr:txBody>
    </xdr:sp>
    <xdr:clientData/>
  </xdr:twoCellAnchor>
  <xdr:twoCellAnchor>
    <xdr:from>
      <xdr:col>5</xdr:col>
      <xdr:colOff>281940</xdr:colOff>
      <xdr:row>9</xdr:row>
      <xdr:rowOff>0</xdr:rowOff>
    </xdr:from>
    <xdr:to>
      <xdr:col>10</xdr:col>
      <xdr:colOff>396240</xdr:colOff>
      <xdr:row>20</xdr:row>
      <xdr:rowOff>160020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</xdr:colOff>
      <xdr:row>22</xdr:row>
      <xdr:rowOff>0</xdr:rowOff>
    </xdr:from>
    <xdr:to>
      <xdr:col>15</xdr:col>
      <xdr:colOff>0</xdr:colOff>
      <xdr:row>33</xdr:row>
      <xdr:rowOff>53340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594360</xdr:colOff>
      <xdr:row>8</xdr:row>
      <xdr:rowOff>175260</xdr:rowOff>
    </xdr:from>
    <xdr:to>
      <xdr:col>15</xdr:col>
      <xdr:colOff>594360</xdr:colOff>
      <xdr:row>20</xdr:row>
      <xdr:rowOff>167640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373380</xdr:colOff>
      <xdr:row>4</xdr:row>
      <xdr:rowOff>0</xdr:rowOff>
    </xdr:from>
    <xdr:to>
      <xdr:col>3</xdr:col>
      <xdr:colOff>198120</xdr:colOff>
      <xdr:row>8</xdr:row>
      <xdr:rowOff>68580</xdr:rowOff>
    </xdr:to>
    <xdr:sp macro="" textlink="">
      <xdr:nvSpPr>
        <xdr:cNvPr id="8" name="Rectangle 7"/>
        <xdr:cNvSpPr/>
      </xdr:nvSpPr>
      <xdr:spPr>
        <a:xfrm>
          <a:off x="373380" y="731520"/>
          <a:ext cx="1653540" cy="8001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426720</xdr:colOff>
      <xdr:row>3</xdr:row>
      <xdr:rowOff>144780</xdr:rowOff>
    </xdr:from>
    <xdr:to>
      <xdr:col>3</xdr:col>
      <xdr:colOff>68580</xdr:colOff>
      <xdr:row>5</xdr:row>
      <xdr:rowOff>137160</xdr:rowOff>
    </xdr:to>
    <xdr:sp macro="" textlink="">
      <xdr:nvSpPr>
        <xdr:cNvPr id="9" name="TextBox 8"/>
        <xdr:cNvSpPr txBox="1"/>
      </xdr:nvSpPr>
      <xdr:spPr>
        <a:xfrm>
          <a:off x="426720" y="693420"/>
          <a:ext cx="1470660" cy="358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baseline="0">
              <a:solidFill>
                <a:sysClr val="windowText" lastClr="000000"/>
              </a:solidFill>
            </a:rPr>
            <a:t>Total Jobs</a:t>
          </a:r>
        </a:p>
      </xdr:txBody>
    </xdr:sp>
    <xdr:clientData/>
  </xdr:twoCellAnchor>
  <xdr:twoCellAnchor>
    <xdr:from>
      <xdr:col>0</xdr:col>
      <xdr:colOff>518160</xdr:colOff>
      <xdr:row>5</xdr:row>
      <xdr:rowOff>137160</xdr:rowOff>
    </xdr:from>
    <xdr:to>
      <xdr:col>3</xdr:col>
      <xdr:colOff>22860</xdr:colOff>
      <xdr:row>7</xdr:row>
      <xdr:rowOff>129540</xdr:rowOff>
    </xdr:to>
    <xdr:sp macro="" textlink="">
      <xdr:nvSpPr>
        <xdr:cNvPr id="10" name="TextBox 9"/>
        <xdr:cNvSpPr txBox="1"/>
      </xdr:nvSpPr>
      <xdr:spPr>
        <a:xfrm>
          <a:off x="518160" y="1051560"/>
          <a:ext cx="1333500" cy="3581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baseline="0">
              <a:solidFill>
                <a:sysClr val="windowText" lastClr="000000"/>
              </a:solidFill>
            </a:rPr>
            <a:t>119</a:t>
          </a:r>
        </a:p>
      </xdr:txBody>
    </xdr:sp>
    <xdr:clientData/>
  </xdr:twoCellAnchor>
  <xdr:twoCellAnchor>
    <xdr:from>
      <xdr:col>3</xdr:col>
      <xdr:colOff>480060</xdr:colOff>
      <xdr:row>4</xdr:row>
      <xdr:rowOff>15240</xdr:rowOff>
    </xdr:from>
    <xdr:to>
      <xdr:col>6</xdr:col>
      <xdr:colOff>228600</xdr:colOff>
      <xdr:row>8</xdr:row>
      <xdr:rowOff>68580</xdr:rowOff>
    </xdr:to>
    <xdr:sp macro="" textlink="">
      <xdr:nvSpPr>
        <xdr:cNvPr id="11" name="Rectangle 10"/>
        <xdr:cNvSpPr/>
      </xdr:nvSpPr>
      <xdr:spPr>
        <a:xfrm>
          <a:off x="2308860" y="746760"/>
          <a:ext cx="1577340" cy="78486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495300</xdr:colOff>
      <xdr:row>4</xdr:row>
      <xdr:rowOff>0</xdr:rowOff>
    </xdr:from>
    <xdr:to>
      <xdr:col>6</xdr:col>
      <xdr:colOff>251460</xdr:colOff>
      <xdr:row>6</xdr:row>
      <xdr:rowOff>0</xdr:rowOff>
    </xdr:to>
    <xdr:sp macro="" textlink="">
      <xdr:nvSpPr>
        <xdr:cNvPr id="9217" name="Text Box 1"/>
        <xdr:cNvSpPr txBox="1">
          <a:spLocks noChangeArrowheads="1"/>
        </xdr:cNvSpPr>
      </xdr:nvSpPr>
      <xdr:spPr bwMode="auto">
        <a:xfrm>
          <a:off x="2324100" y="731520"/>
          <a:ext cx="158496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Top Hiring Company</a:t>
          </a:r>
        </a:p>
      </xdr:txBody>
    </xdr:sp>
    <xdr:clientData/>
  </xdr:twoCellAnchor>
  <xdr:twoCellAnchor>
    <xdr:from>
      <xdr:col>6</xdr:col>
      <xdr:colOff>487680</xdr:colOff>
      <xdr:row>4</xdr:row>
      <xdr:rowOff>0</xdr:rowOff>
    </xdr:from>
    <xdr:to>
      <xdr:col>9</xdr:col>
      <xdr:colOff>304800</xdr:colOff>
      <xdr:row>8</xdr:row>
      <xdr:rowOff>53340</xdr:rowOff>
    </xdr:to>
    <xdr:sp macro="" textlink="">
      <xdr:nvSpPr>
        <xdr:cNvPr id="15" name="Rectangle 14"/>
        <xdr:cNvSpPr/>
      </xdr:nvSpPr>
      <xdr:spPr>
        <a:xfrm>
          <a:off x="4145280" y="731520"/>
          <a:ext cx="1645920" cy="78486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4</xdr:row>
      <xdr:rowOff>0</xdr:rowOff>
    </xdr:from>
    <xdr:to>
      <xdr:col>12</xdr:col>
      <xdr:colOff>358140</xdr:colOff>
      <xdr:row>8</xdr:row>
      <xdr:rowOff>53340</xdr:rowOff>
    </xdr:to>
    <xdr:sp macro="" textlink="">
      <xdr:nvSpPr>
        <xdr:cNvPr id="16" name="Rectangle 15"/>
        <xdr:cNvSpPr/>
      </xdr:nvSpPr>
      <xdr:spPr>
        <a:xfrm>
          <a:off x="6096000" y="731520"/>
          <a:ext cx="1577340" cy="78486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</xdr:row>
      <xdr:rowOff>0</xdr:rowOff>
    </xdr:from>
    <xdr:to>
      <xdr:col>15</xdr:col>
      <xdr:colOff>441960</xdr:colOff>
      <xdr:row>8</xdr:row>
      <xdr:rowOff>45720</xdr:rowOff>
    </xdr:to>
    <xdr:sp macro="" textlink="">
      <xdr:nvSpPr>
        <xdr:cNvPr id="17" name="Rectangle 16"/>
        <xdr:cNvSpPr/>
      </xdr:nvSpPr>
      <xdr:spPr>
        <a:xfrm>
          <a:off x="7924800" y="731520"/>
          <a:ext cx="1661160" cy="77724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</xdr:row>
      <xdr:rowOff>0</xdr:rowOff>
    </xdr:from>
    <xdr:to>
      <xdr:col>15</xdr:col>
      <xdr:colOff>419100</xdr:colOff>
      <xdr:row>5</xdr:row>
      <xdr:rowOff>175260</xdr:rowOff>
    </xdr:to>
    <xdr:sp macro="" textlink="">
      <xdr:nvSpPr>
        <xdr:cNvPr id="9220" name="Text Box 4"/>
        <xdr:cNvSpPr txBox="1">
          <a:spLocks noChangeArrowheads="1"/>
        </xdr:cNvSpPr>
      </xdr:nvSpPr>
      <xdr:spPr bwMode="auto">
        <a:xfrm>
          <a:off x="7924800" y="731520"/>
          <a:ext cx="1638300" cy="358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Fresher-Friendly Jobs</a:t>
          </a:r>
        </a:p>
      </xdr:txBody>
    </xdr:sp>
    <xdr:clientData/>
  </xdr:twoCellAnchor>
  <xdr:twoCellAnchor>
    <xdr:from>
      <xdr:col>9</xdr:col>
      <xdr:colOff>601980</xdr:colOff>
      <xdr:row>4</xdr:row>
      <xdr:rowOff>0</xdr:rowOff>
    </xdr:from>
    <xdr:to>
      <xdr:col>12</xdr:col>
      <xdr:colOff>358140</xdr:colOff>
      <xdr:row>6</xdr:row>
      <xdr:rowOff>15240</xdr:rowOff>
    </xdr:to>
    <xdr:sp macro="" textlink="">
      <xdr:nvSpPr>
        <xdr:cNvPr id="9221" name="Text Box 5"/>
        <xdr:cNvSpPr txBox="1">
          <a:spLocks noChangeArrowheads="1"/>
        </xdr:cNvSpPr>
      </xdr:nvSpPr>
      <xdr:spPr bwMode="auto">
        <a:xfrm>
          <a:off x="6088380" y="731520"/>
          <a:ext cx="158496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Top Avg Salary</a:t>
          </a:r>
        </a:p>
      </xdr:txBody>
    </xdr:sp>
    <xdr:clientData/>
  </xdr:twoCellAnchor>
  <xdr:twoCellAnchor>
    <xdr:from>
      <xdr:col>6</xdr:col>
      <xdr:colOff>518160</xdr:colOff>
      <xdr:row>3</xdr:row>
      <xdr:rowOff>175260</xdr:rowOff>
    </xdr:from>
    <xdr:to>
      <xdr:col>9</xdr:col>
      <xdr:colOff>312420</xdr:colOff>
      <xdr:row>5</xdr:row>
      <xdr:rowOff>144780</xdr:rowOff>
    </xdr:to>
    <xdr:sp macro="" textlink="">
      <xdr:nvSpPr>
        <xdr:cNvPr id="9222" name="Text Box 6"/>
        <xdr:cNvSpPr txBox="1">
          <a:spLocks noChangeArrowheads="1"/>
        </xdr:cNvSpPr>
      </xdr:nvSpPr>
      <xdr:spPr bwMode="auto">
        <a:xfrm>
          <a:off x="4175760" y="723900"/>
          <a:ext cx="1623060" cy="3352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Top Hiring City</a:t>
          </a:r>
        </a:p>
      </xdr:txBody>
    </xdr:sp>
    <xdr:clientData/>
  </xdr:twoCellAnchor>
  <xdr:twoCellAnchor>
    <xdr:from>
      <xdr:col>13</xdr:col>
      <xdr:colOff>121920</xdr:colOff>
      <xdr:row>5</xdr:row>
      <xdr:rowOff>160020</xdr:rowOff>
    </xdr:from>
    <xdr:to>
      <xdr:col>15</xdr:col>
      <xdr:colOff>304800</xdr:colOff>
      <xdr:row>7</xdr:row>
      <xdr:rowOff>137160</xdr:rowOff>
    </xdr:to>
    <xdr:sp macro="" textlink="">
      <xdr:nvSpPr>
        <xdr:cNvPr id="12" name="TextBox 11"/>
        <xdr:cNvSpPr txBox="1"/>
      </xdr:nvSpPr>
      <xdr:spPr>
        <a:xfrm>
          <a:off x="8046720" y="1074420"/>
          <a:ext cx="1402080" cy="3429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63.9%</a:t>
          </a:r>
        </a:p>
      </xdr:txBody>
    </xdr:sp>
    <xdr:clientData/>
  </xdr:twoCellAnchor>
  <xdr:twoCellAnchor>
    <xdr:from>
      <xdr:col>10</xdr:col>
      <xdr:colOff>121920</xdr:colOff>
      <xdr:row>5</xdr:row>
      <xdr:rowOff>144780</xdr:rowOff>
    </xdr:from>
    <xdr:to>
      <xdr:col>12</xdr:col>
      <xdr:colOff>251460</xdr:colOff>
      <xdr:row>7</xdr:row>
      <xdr:rowOff>137160</xdr:rowOff>
    </xdr:to>
    <xdr:sp macro="" textlink="">
      <xdr:nvSpPr>
        <xdr:cNvPr id="9223" name="Text Box 7"/>
        <xdr:cNvSpPr txBox="1">
          <a:spLocks noChangeArrowheads="1"/>
        </xdr:cNvSpPr>
      </xdr:nvSpPr>
      <xdr:spPr bwMode="auto">
        <a:xfrm>
          <a:off x="6217920" y="1059180"/>
          <a:ext cx="1348740" cy="3581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wrap="square" lIns="36576" tIns="32004" rIns="0" bIns="0" anchor="t" upright="1"/>
        <a:lstStyle/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7.89 LPA</a:t>
          </a:r>
        </a:p>
      </xdr:txBody>
    </xdr:sp>
    <xdr:clientData/>
  </xdr:twoCellAnchor>
  <xdr:twoCellAnchor>
    <xdr:from>
      <xdr:col>6</xdr:col>
      <xdr:colOff>563880</xdr:colOff>
      <xdr:row>5</xdr:row>
      <xdr:rowOff>137160</xdr:rowOff>
    </xdr:from>
    <xdr:to>
      <xdr:col>9</xdr:col>
      <xdr:colOff>175260</xdr:colOff>
      <xdr:row>7</xdr:row>
      <xdr:rowOff>99060</xdr:rowOff>
    </xdr:to>
    <xdr:sp macro="" textlink="">
      <xdr:nvSpPr>
        <xdr:cNvPr id="9224" name="Text Box 8"/>
        <xdr:cNvSpPr txBox="1">
          <a:spLocks noChangeArrowheads="1"/>
        </xdr:cNvSpPr>
      </xdr:nvSpPr>
      <xdr:spPr bwMode="auto">
        <a:xfrm>
          <a:off x="4221480" y="1051560"/>
          <a:ext cx="1440180" cy="32766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wrap="square" lIns="36576" tIns="32004" rIns="0" bIns="0" anchor="t" upright="1"/>
        <a:lstStyle/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Bengaluru</a:t>
          </a:r>
        </a:p>
      </xdr:txBody>
    </xdr:sp>
    <xdr:clientData/>
  </xdr:twoCellAnchor>
  <xdr:twoCellAnchor>
    <xdr:from>
      <xdr:col>3</xdr:col>
      <xdr:colOff>548640</xdr:colOff>
      <xdr:row>5</xdr:row>
      <xdr:rowOff>137160</xdr:rowOff>
    </xdr:from>
    <xdr:to>
      <xdr:col>6</xdr:col>
      <xdr:colOff>175260</xdr:colOff>
      <xdr:row>7</xdr:row>
      <xdr:rowOff>99060</xdr:rowOff>
    </xdr:to>
    <xdr:sp macro="" textlink="">
      <xdr:nvSpPr>
        <xdr:cNvPr id="9225" name="Text Box 9"/>
        <xdr:cNvSpPr txBox="1">
          <a:spLocks noChangeArrowheads="1"/>
        </xdr:cNvSpPr>
      </xdr:nvSpPr>
      <xdr:spPr bwMode="auto">
        <a:xfrm>
          <a:off x="2377440" y="1051560"/>
          <a:ext cx="1455420" cy="32766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wrap="square" lIns="36576" tIns="32004" rIns="0" bIns="0" anchor="t" upright="1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DATASPHERE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95.589281250002" createdVersion="6" refreshedVersion="6" minRefreshableVersion="3" recordCount="119">
  <cacheSource type="worksheet">
    <worksheetSource name="Table1"/>
  </cacheSource>
  <cacheFields count="8">
    <cacheField name="job_id" numFmtId="0">
      <sharedItems containsSemiMixedTypes="0" containsString="0" containsNumber="1" containsInteger="1" minValue="1" maxValue="120"/>
    </cacheField>
    <cacheField name="company" numFmtId="0">
      <sharedItems/>
    </cacheField>
    <cacheField name="Final_Company" numFmtId="0">
      <sharedItems count="4">
        <s v="INSIGHT CORP"/>
        <s v="DATASPHERE"/>
        <s v="TECHNOVA"/>
        <s v="AIWORKS"/>
      </sharedItems>
    </cacheField>
    <cacheField name="Location" numFmtId="0">
      <sharedItems count="6">
        <s v="Unknown"/>
        <s v="Pune"/>
        <s v="Bengaluru"/>
        <s v="Chennai"/>
        <s v="Hyderabad"/>
        <s v=" bengaluru" u="1"/>
      </sharedItems>
    </cacheField>
    <cacheField name="experience_years" numFmtId="0">
      <sharedItems containsSemiMixedTypes="0" containsString="0" containsNumber="1" containsInteger="1" minValue="0" maxValue="3" count="4">
        <n v="3"/>
        <n v="2"/>
        <n v="1"/>
        <n v="0"/>
      </sharedItems>
    </cacheField>
    <cacheField name="salary_lpa" numFmtId="0">
      <sharedItems containsSemiMixedTypes="0" containsString="0" containsNumber="1" minValue="4.5" maxValue="10"/>
    </cacheField>
    <cacheField name="skills" numFmtId="0">
      <sharedItems count="5">
        <s v="SQL, Excel"/>
        <s v="Python, Tableau"/>
        <s v="Not Specified"/>
        <s v="sql,python"/>
        <s v="SQL,Python,Power BI"/>
      </sharedItems>
    </cacheField>
    <cacheField name="posted_date" numFmtId="164">
      <sharedItems containsNonDate="0" containsDate="1" containsString="0" containsBlank="1" minDate="2026-01-06T00:00:00" maxDate="2026-06-1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9">
  <r>
    <n v="1"/>
    <s v="Insight Corp"/>
    <x v="0"/>
    <x v="0"/>
    <x v="0"/>
    <n v="8"/>
    <x v="0"/>
    <m/>
  </r>
  <r>
    <n v="2"/>
    <s v="DataSphere"/>
    <x v="1"/>
    <x v="1"/>
    <x v="1"/>
    <n v="6"/>
    <x v="1"/>
    <d v="2026-05-01T00:00:00"/>
  </r>
  <r>
    <n v="3"/>
    <s v="TechNova"/>
    <x v="2"/>
    <x v="2"/>
    <x v="2"/>
    <n v="8"/>
    <x v="2"/>
    <d v="2026-05-01T00:00:00"/>
  </r>
  <r>
    <n v="4"/>
    <s v="TechNova"/>
    <x v="2"/>
    <x v="2"/>
    <x v="3"/>
    <n v="8"/>
    <x v="1"/>
    <d v="2026-05-01T00:00:00"/>
  </r>
  <r>
    <n v="5"/>
    <s v="TechNova"/>
    <x v="2"/>
    <x v="2"/>
    <x v="0"/>
    <n v="8"/>
    <x v="3"/>
    <d v="2026-06-10T00:00:00"/>
  </r>
  <r>
    <n v="6"/>
    <s v="TechNova "/>
    <x v="2"/>
    <x v="2"/>
    <x v="2"/>
    <n v="8"/>
    <x v="2"/>
    <d v="2026-01-06T00:00:00"/>
  </r>
  <r>
    <n v="7"/>
    <s v="TechNova"/>
    <x v="2"/>
    <x v="3"/>
    <x v="3"/>
    <n v="6"/>
    <x v="4"/>
    <d v="2026-06-10T00:00:00"/>
  </r>
  <r>
    <n v="8"/>
    <s v="Insight Corp"/>
    <x v="0"/>
    <x v="3"/>
    <x v="0"/>
    <n v="6"/>
    <x v="3"/>
    <m/>
  </r>
  <r>
    <n v="9"/>
    <s v="DataSphere"/>
    <x v="1"/>
    <x v="4"/>
    <x v="2"/>
    <n v="6"/>
    <x v="3"/>
    <d v="2026-06-10T00:00:00"/>
  </r>
  <r>
    <n v="10"/>
    <s v="DataSphere"/>
    <x v="1"/>
    <x v="3"/>
    <x v="3"/>
    <n v="8"/>
    <x v="3"/>
    <m/>
  </r>
  <r>
    <n v="11"/>
    <s v="DataSphere"/>
    <x v="1"/>
    <x v="2"/>
    <x v="1"/>
    <n v="4.5"/>
    <x v="4"/>
    <d v="2026-01-06T00:00:00"/>
  </r>
  <r>
    <n v="12"/>
    <s v="TechNova "/>
    <x v="2"/>
    <x v="1"/>
    <x v="2"/>
    <n v="6"/>
    <x v="1"/>
    <d v="2026-01-06T00:00:00"/>
  </r>
  <r>
    <n v="13"/>
    <s v="DataSphere"/>
    <x v="1"/>
    <x v="2"/>
    <x v="2"/>
    <n v="6"/>
    <x v="3"/>
    <d v="2026-06-10T00:00:00"/>
  </r>
  <r>
    <n v="14"/>
    <s v="DataSphere"/>
    <x v="1"/>
    <x v="4"/>
    <x v="2"/>
    <n v="6"/>
    <x v="1"/>
    <m/>
  </r>
  <r>
    <n v="15"/>
    <s v="DataSphere"/>
    <x v="1"/>
    <x v="3"/>
    <x v="3"/>
    <n v="10"/>
    <x v="3"/>
    <d v="2026-05-01T00:00:00"/>
  </r>
  <r>
    <n v="16"/>
    <s v="TechNova"/>
    <x v="2"/>
    <x v="2"/>
    <x v="2"/>
    <n v="10"/>
    <x v="1"/>
    <d v="2026-06-10T00:00:00"/>
  </r>
  <r>
    <n v="17"/>
    <s v="TechNova "/>
    <x v="2"/>
    <x v="0"/>
    <x v="3"/>
    <n v="8"/>
    <x v="0"/>
    <d v="2026-05-01T00:00:00"/>
  </r>
  <r>
    <n v="18"/>
    <s v="TechNova "/>
    <x v="2"/>
    <x v="0"/>
    <x v="0"/>
    <n v="6"/>
    <x v="0"/>
    <d v="2026-05-01T00:00:00"/>
  </r>
  <r>
    <n v="19"/>
    <s v="TechNova "/>
    <x v="2"/>
    <x v="3"/>
    <x v="2"/>
    <n v="8"/>
    <x v="4"/>
    <d v="2026-01-06T00:00:00"/>
  </r>
  <r>
    <n v="20"/>
    <s v="TechNova"/>
    <x v="2"/>
    <x v="1"/>
    <x v="2"/>
    <n v="8"/>
    <x v="4"/>
    <d v="2026-06-10T00:00:00"/>
  </r>
  <r>
    <n v="21"/>
    <s v="Insight Corp"/>
    <x v="0"/>
    <x v="2"/>
    <x v="0"/>
    <n v="10"/>
    <x v="0"/>
    <m/>
  </r>
  <r>
    <n v="22"/>
    <s v="TechNova"/>
    <x v="2"/>
    <x v="2"/>
    <x v="1"/>
    <n v="6"/>
    <x v="2"/>
    <m/>
  </r>
  <r>
    <n v="23"/>
    <s v="DataSphere"/>
    <x v="1"/>
    <x v="1"/>
    <x v="3"/>
    <n v="8"/>
    <x v="4"/>
    <d v="2026-01-06T00:00:00"/>
  </r>
  <r>
    <n v="24"/>
    <s v="TechNova "/>
    <x v="2"/>
    <x v="2"/>
    <x v="1"/>
    <n v="6"/>
    <x v="1"/>
    <m/>
  </r>
  <r>
    <n v="25"/>
    <s v="TechNova"/>
    <x v="2"/>
    <x v="4"/>
    <x v="0"/>
    <n v="10"/>
    <x v="3"/>
    <d v="2026-01-06T00:00:00"/>
  </r>
  <r>
    <n v="26"/>
    <s v="TechNova"/>
    <x v="2"/>
    <x v="1"/>
    <x v="2"/>
    <n v="4.5"/>
    <x v="4"/>
    <d v="2026-06-10T00:00:00"/>
  </r>
  <r>
    <n v="27"/>
    <s v="AIWorks"/>
    <x v="3"/>
    <x v="2"/>
    <x v="0"/>
    <n v="10"/>
    <x v="1"/>
    <d v="2026-06-10T00:00:00"/>
  </r>
  <r>
    <n v="28"/>
    <s v="AIWorks"/>
    <x v="3"/>
    <x v="3"/>
    <x v="3"/>
    <n v="8"/>
    <x v="4"/>
    <d v="2026-06-10T00:00:00"/>
  </r>
  <r>
    <n v="29"/>
    <s v="TechNova "/>
    <x v="2"/>
    <x v="4"/>
    <x v="3"/>
    <n v="10"/>
    <x v="1"/>
    <d v="2026-06-10T00:00:00"/>
  </r>
  <r>
    <n v="30"/>
    <s v="TechNova"/>
    <x v="2"/>
    <x v="4"/>
    <x v="2"/>
    <n v="8"/>
    <x v="4"/>
    <d v="2026-06-10T00:00:00"/>
  </r>
  <r>
    <n v="31"/>
    <s v="Insight Corp"/>
    <x v="0"/>
    <x v="2"/>
    <x v="3"/>
    <n v="8"/>
    <x v="1"/>
    <m/>
  </r>
  <r>
    <n v="32"/>
    <s v="AIWorks"/>
    <x v="3"/>
    <x v="2"/>
    <x v="2"/>
    <n v="6"/>
    <x v="3"/>
    <d v="2026-05-01T00:00:00"/>
  </r>
  <r>
    <n v="33"/>
    <s v="DataSphere"/>
    <x v="1"/>
    <x v="4"/>
    <x v="1"/>
    <n v="8"/>
    <x v="2"/>
    <m/>
  </r>
  <r>
    <n v="34"/>
    <s v="TechNova"/>
    <x v="2"/>
    <x v="0"/>
    <x v="2"/>
    <n v="8"/>
    <x v="0"/>
    <d v="2026-06-10T00:00:00"/>
  </r>
  <r>
    <n v="35"/>
    <s v="DataSphere"/>
    <x v="1"/>
    <x v="2"/>
    <x v="1"/>
    <n v="8"/>
    <x v="4"/>
    <d v="2026-01-06T00:00:00"/>
  </r>
  <r>
    <n v="36"/>
    <s v="TechNova "/>
    <x v="2"/>
    <x v="0"/>
    <x v="1"/>
    <n v="8"/>
    <x v="0"/>
    <m/>
  </r>
  <r>
    <n v="37"/>
    <s v="DataSphere"/>
    <x v="1"/>
    <x v="2"/>
    <x v="0"/>
    <n v="8"/>
    <x v="2"/>
    <d v="2026-01-06T00:00:00"/>
  </r>
  <r>
    <n v="38"/>
    <s v="Insight Corp"/>
    <x v="0"/>
    <x v="3"/>
    <x v="1"/>
    <n v="8"/>
    <x v="4"/>
    <d v="2026-05-01T00:00:00"/>
  </r>
  <r>
    <n v="39"/>
    <s v="TechNova "/>
    <x v="2"/>
    <x v="3"/>
    <x v="1"/>
    <n v="4.5"/>
    <x v="0"/>
    <m/>
  </r>
  <r>
    <n v="40"/>
    <s v="Insight Corp"/>
    <x v="0"/>
    <x v="1"/>
    <x v="2"/>
    <n v="8"/>
    <x v="0"/>
    <d v="2026-06-10T00:00:00"/>
  </r>
  <r>
    <n v="41"/>
    <s v="Insight Corp"/>
    <x v="0"/>
    <x v="1"/>
    <x v="0"/>
    <n v="8"/>
    <x v="4"/>
    <m/>
  </r>
  <r>
    <n v="42"/>
    <s v="AIWorks"/>
    <x v="3"/>
    <x v="1"/>
    <x v="2"/>
    <n v="8"/>
    <x v="3"/>
    <m/>
  </r>
  <r>
    <n v="43"/>
    <s v="AIWorks"/>
    <x v="3"/>
    <x v="1"/>
    <x v="1"/>
    <n v="10"/>
    <x v="0"/>
    <d v="2026-06-10T00:00:00"/>
  </r>
  <r>
    <n v="44"/>
    <s v="DataSphere"/>
    <x v="1"/>
    <x v="2"/>
    <x v="0"/>
    <n v="8"/>
    <x v="3"/>
    <d v="2026-06-10T00:00:00"/>
  </r>
  <r>
    <n v="45"/>
    <s v="TechNova "/>
    <x v="2"/>
    <x v="2"/>
    <x v="3"/>
    <n v="8"/>
    <x v="3"/>
    <d v="2026-01-06T00:00:00"/>
  </r>
  <r>
    <n v="46"/>
    <s v="Insight Corp"/>
    <x v="0"/>
    <x v="3"/>
    <x v="2"/>
    <n v="6"/>
    <x v="2"/>
    <d v="2026-06-10T00:00:00"/>
  </r>
  <r>
    <n v="47"/>
    <s v="DataSphere"/>
    <x v="1"/>
    <x v="2"/>
    <x v="2"/>
    <n v="8"/>
    <x v="0"/>
    <d v="2026-05-01T00:00:00"/>
  </r>
  <r>
    <n v="48"/>
    <s v="TechNova"/>
    <x v="2"/>
    <x v="0"/>
    <x v="2"/>
    <n v="4.5"/>
    <x v="3"/>
    <d v="2026-05-01T00:00:00"/>
  </r>
  <r>
    <n v="49"/>
    <s v="DataSphere"/>
    <x v="1"/>
    <x v="2"/>
    <x v="2"/>
    <n v="10"/>
    <x v="4"/>
    <d v="2026-05-01T00:00:00"/>
  </r>
  <r>
    <n v="51"/>
    <s v="TechNova "/>
    <x v="2"/>
    <x v="2"/>
    <x v="3"/>
    <n v="4.5"/>
    <x v="4"/>
    <d v="2026-01-06T00:00:00"/>
  </r>
  <r>
    <n v="52"/>
    <s v="DataSphere"/>
    <x v="1"/>
    <x v="4"/>
    <x v="0"/>
    <n v="6"/>
    <x v="2"/>
    <m/>
  </r>
  <r>
    <n v="53"/>
    <s v="TechNova"/>
    <x v="2"/>
    <x v="3"/>
    <x v="0"/>
    <n v="8"/>
    <x v="2"/>
    <m/>
  </r>
  <r>
    <n v="54"/>
    <s v="TechNova "/>
    <x v="2"/>
    <x v="4"/>
    <x v="2"/>
    <n v="6"/>
    <x v="4"/>
    <d v="2026-01-06T00:00:00"/>
  </r>
  <r>
    <n v="55"/>
    <s v="Insight Corp"/>
    <x v="0"/>
    <x v="2"/>
    <x v="3"/>
    <n v="6"/>
    <x v="1"/>
    <d v="2026-05-01T00:00:00"/>
  </r>
  <r>
    <n v="56"/>
    <s v="TechNova "/>
    <x v="2"/>
    <x v="1"/>
    <x v="2"/>
    <n v="6"/>
    <x v="2"/>
    <d v="2026-01-06T00:00:00"/>
  </r>
  <r>
    <n v="57"/>
    <s v="DataSphere"/>
    <x v="1"/>
    <x v="1"/>
    <x v="2"/>
    <n v="10"/>
    <x v="1"/>
    <d v="2026-05-01T00:00:00"/>
  </r>
  <r>
    <n v="58"/>
    <s v="DataSphere"/>
    <x v="1"/>
    <x v="1"/>
    <x v="0"/>
    <n v="8"/>
    <x v="2"/>
    <d v="2026-05-01T00:00:00"/>
  </r>
  <r>
    <n v="59"/>
    <s v="AIWorks"/>
    <x v="3"/>
    <x v="4"/>
    <x v="0"/>
    <n v="8"/>
    <x v="3"/>
    <d v="2026-06-10T00:00:00"/>
  </r>
  <r>
    <n v="60"/>
    <s v="DataSphere"/>
    <x v="1"/>
    <x v="3"/>
    <x v="1"/>
    <n v="8"/>
    <x v="2"/>
    <d v="2026-05-01T00:00:00"/>
  </r>
  <r>
    <n v="61"/>
    <s v="AIWorks"/>
    <x v="3"/>
    <x v="4"/>
    <x v="2"/>
    <n v="10"/>
    <x v="4"/>
    <d v="2026-01-06T00:00:00"/>
  </r>
  <r>
    <n v="62"/>
    <s v="AIWorks"/>
    <x v="3"/>
    <x v="1"/>
    <x v="3"/>
    <n v="6"/>
    <x v="0"/>
    <d v="2026-06-10T00:00:00"/>
  </r>
  <r>
    <n v="63"/>
    <s v="Insight Corp"/>
    <x v="0"/>
    <x v="2"/>
    <x v="0"/>
    <n v="8"/>
    <x v="4"/>
    <d v="2026-06-10T00:00:00"/>
  </r>
  <r>
    <n v="64"/>
    <s v="Insight Corp"/>
    <x v="0"/>
    <x v="0"/>
    <x v="1"/>
    <n v="8"/>
    <x v="2"/>
    <d v="2026-01-06T00:00:00"/>
  </r>
  <r>
    <n v="65"/>
    <s v="DataSphere"/>
    <x v="1"/>
    <x v="2"/>
    <x v="2"/>
    <n v="8"/>
    <x v="2"/>
    <d v="2026-01-06T00:00:00"/>
  </r>
  <r>
    <n v="66"/>
    <s v="AIWorks"/>
    <x v="3"/>
    <x v="1"/>
    <x v="2"/>
    <n v="8"/>
    <x v="2"/>
    <d v="2026-06-10T00:00:00"/>
  </r>
  <r>
    <n v="67"/>
    <s v="DataSphere"/>
    <x v="1"/>
    <x v="2"/>
    <x v="3"/>
    <n v="10"/>
    <x v="3"/>
    <m/>
  </r>
  <r>
    <n v="68"/>
    <s v="DataSphere"/>
    <x v="1"/>
    <x v="2"/>
    <x v="2"/>
    <n v="8"/>
    <x v="1"/>
    <m/>
  </r>
  <r>
    <n v="69"/>
    <s v="TechNova"/>
    <x v="2"/>
    <x v="4"/>
    <x v="0"/>
    <n v="10"/>
    <x v="4"/>
    <m/>
  </r>
  <r>
    <n v="70"/>
    <s v="DataSphere"/>
    <x v="1"/>
    <x v="1"/>
    <x v="1"/>
    <n v="10"/>
    <x v="2"/>
    <m/>
  </r>
  <r>
    <n v="71"/>
    <s v="TechNova "/>
    <x v="2"/>
    <x v="1"/>
    <x v="2"/>
    <n v="8"/>
    <x v="1"/>
    <d v="2026-05-01T00:00:00"/>
  </r>
  <r>
    <n v="72"/>
    <s v="TechNova "/>
    <x v="2"/>
    <x v="0"/>
    <x v="2"/>
    <n v="10"/>
    <x v="3"/>
    <d v="2026-01-06T00:00:00"/>
  </r>
  <r>
    <n v="73"/>
    <s v="TechNova"/>
    <x v="2"/>
    <x v="3"/>
    <x v="2"/>
    <n v="6"/>
    <x v="1"/>
    <d v="2026-05-01T00:00:00"/>
  </r>
  <r>
    <n v="74"/>
    <s v="DataSphere"/>
    <x v="1"/>
    <x v="1"/>
    <x v="2"/>
    <n v="6"/>
    <x v="3"/>
    <m/>
  </r>
  <r>
    <n v="75"/>
    <s v="DataSphere"/>
    <x v="1"/>
    <x v="2"/>
    <x v="2"/>
    <n v="8"/>
    <x v="1"/>
    <m/>
  </r>
  <r>
    <n v="76"/>
    <s v="DataSphere"/>
    <x v="1"/>
    <x v="2"/>
    <x v="2"/>
    <n v="8"/>
    <x v="4"/>
    <d v="2026-05-01T00:00:00"/>
  </r>
  <r>
    <n v="77"/>
    <s v="Insight Corp"/>
    <x v="0"/>
    <x v="1"/>
    <x v="1"/>
    <n v="6"/>
    <x v="1"/>
    <d v="2026-05-01T00:00:00"/>
  </r>
  <r>
    <n v="78"/>
    <s v="DataSphere"/>
    <x v="1"/>
    <x v="2"/>
    <x v="3"/>
    <n v="10"/>
    <x v="4"/>
    <d v="2026-06-10T00:00:00"/>
  </r>
  <r>
    <n v="79"/>
    <s v="DataSphere"/>
    <x v="1"/>
    <x v="0"/>
    <x v="2"/>
    <n v="8"/>
    <x v="0"/>
    <m/>
  </r>
  <r>
    <n v="80"/>
    <s v="DataSphere"/>
    <x v="1"/>
    <x v="0"/>
    <x v="2"/>
    <n v="10"/>
    <x v="1"/>
    <d v="2026-06-10T00:00:00"/>
  </r>
  <r>
    <n v="81"/>
    <s v="DataSphere"/>
    <x v="1"/>
    <x v="1"/>
    <x v="0"/>
    <n v="10"/>
    <x v="2"/>
    <d v="2026-06-10T00:00:00"/>
  </r>
  <r>
    <n v="82"/>
    <s v="DataSphere"/>
    <x v="1"/>
    <x v="4"/>
    <x v="2"/>
    <n v="4.5"/>
    <x v="1"/>
    <d v="2026-05-01T00:00:00"/>
  </r>
  <r>
    <n v="83"/>
    <s v="Insight Corp"/>
    <x v="0"/>
    <x v="0"/>
    <x v="2"/>
    <n v="10"/>
    <x v="0"/>
    <d v="2026-05-01T00:00:00"/>
  </r>
  <r>
    <n v="84"/>
    <s v="DataSphere"/>
    <x v="1"/>
    <x v="4"/>
    <x v="2"/>
    <n v="8"/>
    <x v="2"/>
    <d v="2026-05-01T00:00:00"/>
  </r>
  <r>
    <n v="85"/>
    <s v="AIWorks"/>
    <x v="3"/>
    <x v="0"/>
    <x v="0"/>
    <n v="8"/>
    <x v="4"/>
    <d v="2026-05-01T00:00:00"/>
  </r>
  <r>
    <n v="86"/>
    <s v="TechNova"/>
    <x v="2"/>
    <x v="2"/>
    <x v="2"/>
    <n v="4.5"/>
    <x v="2"/>
    <m/>
  </r>
  <r>
    <n v="87"/>
    <s v="Insight Corp"/>
    <x v="0"/>
    <x v="4"/>
    <x v="3"/>
    <n v="10"/>
    <x v="3"/>
    <d v="2026-01-06T00:00:00"/>
  </r>
  <r>
    <n v="88"/>
    <s v="TechNova "/>
    <x v="2"/>
    <x v="4"/>
    <x v="1"/>
    <n v="6"/>
    <x v="3"/>
    <d v="2026-01-06T00:00:00"/>
  </r>
  <r>
    <n v="89"/>
    <s v="DataSphere"/>
    <x v="1"/>
    <x v="2"/>
    <x v="2"/>
    <n v="10"/>
    <x v="3"/>
    <m/>
  </r>
  <r>
    <n v="90"/>
    <s v="AIWorks"/>
    <x v="3"/>
    <x v="4"/>
    <x v="2"/>
    <n v="8"/>
    <x v="4"/>
    <d v="2026-05-01T00:00:00"/>
  </r>
  <r>
    <n v="91"/>
    <s v="DataSphere"/>
    <x v="1"/>
    <x v="1"/>
    <x v="2"/>
    <n v="10"/>
    <x v="2"/>
    <d v="2026-06-10T00:00:00"/>
  </r>
  <r>
    <n v="92"/>
    <s v="DataSphere"/>
    <x v="1"/>
    <x v="2"/>
    <x v="2"/>
    <n v="10"/>
    <x v="4"/>
    <d v="2026-01-06T00:00:00"/>
  </r>
  <r>
    <n v="93"/>
    <s v="TechNova"/>
    <x v="2"/>
    <x v="0"/>
    <x v="3"/>
    <n v="8"/>
    <x v="0"/>
    <d v="2026-05-01T00:00:00"/>
  </r>
  <r>
    <n v="94"/>
    <s v="TechNova"/>
    <x v="2"/>
    <x v="2"/>
    <x v="0"/>
    <n v="10"/>
    <x v="2"/>
    <d v="2026-01-06T00:00:00"/>
  </r>
  <r>
    <n v="95"/>
    <s v="TechNova "/>
    <x v="2"/>
    <x v="3"/>
    <x v="1"/>
    <n v="4.5"/>
    <x v="0"/>
    <d v="2026-05-01T00:00:00"/>
  </r>
  <r>
    <n v="96"/>
    <s v="DataSphere"/>
    <x v="1"/>
    <x v="0"/>
    <x v="2"/>
    <n v="6"/>
    <x v="0"/>
    <d v="2026-06-10T00:00:00"/>
  </r>
  <r>
    <n v="97"/>
    <s v="TechNova"/>
    <x v="2"/>
    <x v="2"/>
    <x v="2"/>
    <n v="8"/>
    <x v="1"/>
    <d v="2026-01-06T00:00:00"/>
  </r>
  <r>
    <n v="98"/>
    <s v="DataSphere"/>
    <x v="1"/>
    <x v="4"/>
    <x v="2"/>
    <n v="8"/>
    <x v="3"/>
    <m/>
  </r>
  <r>
    <n v="99"/>
    <s v="Insight Corp"/>
    <x v="0"/>
    <x v="1"/>
    <x v="3"/>
    <n v="4.5"/>
    <x v="0"/>
    <d v="2026-05-01T00:00:00"/>
  </r>
  <r>
    <n v="100"/>
    <s v="AIWorks"/>
    <x v="3"/>
    <x v="1"/>
    <x v="1"/>
    <n v="8"/>
    <x v="1"/>
    <d v="2026-05-01T00:00:00"/>
  </r>
  <r>
    <n v="101"/>
    <s v="DataSphere"/>
    <x v="1"/>
    <x v="2"/>
    <x v="3"/>
    <n v="4.5"/>
    <x v="0"/>
    <d v="2026-01-06T00:00:00"/>
  </r>
  <r>
    <n v="102"/>
    <s v="DataSphere"/>
    <x v="1"/>
    <x v="2"/>
    <x v="3"/>
    <n v="8"/>
    <x v="2"/>
    <d v="2026-01-06T00:00:00"/>
  </r>
  <r>
    <n v="103"/>
    <s v="DataSphere"/>
    <x v="1"/>
    <x v="1"/>
    <x v="2"/>
    <n v="8"/>
    <x v="1"/>
    <d v="2026-05-01T00:00:00"/>
  </r>
  <r>
    <n v="104"/>
    <s v="Insight Corp"/>
    <x v="0"/>
    <x v="2"/>
    <x v="1"/>
    <n v="4.5"/>
    <x v="1"/>
    <m/>
  </r>
  <r>
    <n v="105"/>
    <s v="AIWorks"/>
    <x v="3"/>
    <x v="2"/>
    <x v="0"/>
    <n v="4.5"/>
    <x v="2"/>
    <d v="2026-05-01T00:00:00"/>
  </r>
  <r>
    <n v="106"/>
    <s v="TechNova "/>
    <x v="2"/>
    <x v="2"/>
    <x v="2"/>
    <n v="8"/>
    <x v="1"/>
    <d v="2026-06-10T00:00:00"/>
  </r>
  <r>
    <n v="107"/>
    <s v="DataSphere"/>
    <x v="1"/>
    <x v="3"/>
    <x v="1"/>
    <n v="6"/>
    <x v="3"/>
    <m/>
  </r>
  <r>
    <n v="108"/>
    <s v="Insight Corp"/>
    <x v="0"/>
    <x v="4"/>
    <x v="2"/>
    <n v="6"/>
    <x v="3"/>
    <d v="2026-05-01T00:00:00"/>
  </r>
  <r>
    <n v="109"/>
    <s v="DataSphere"/>
    <x v="1"/>
    <x v="2"/>
    <x v="3"/>
    <n v="4.5"/>
    <x v="1"/>
    <d v="2026-05-01T00:00:00"/>
  </r>
  <r>
    <n v="110"/>
    <s v="AIWorks"/>
    <x v="3"/>
    <x v="1"/>
    <x v="0"/>
    <n v="8"/>
    <x v="4"/>
    <d v="2026-01-06T00:00:00"/>
  </r>
  <r>
    <n v="111"/>
    <s v="DataSphere"/>
    <x v="1"/>
    <x v="4"/>
    <x v="0"/>
    <n v="8"/>
    <x v="0"/>
    <d v="2026-01-06T00:00:00"/>
  </r>
  <r>
    <n v="112"/>
    <s v="DataSphere"/>
    <x v="1"/>
    <x v="3"/>
    <x v="2"/>
    <n v="8"/>
    <x v="3"/>
    <d v="2026-01-06T00:00:00"/>
  </r>
  <r>
    <n v="113"/>
    <s v="Insight Corp"/>
    <x v="0"/>
    <x v="2"/>
    <x v="3"/>
    <n v="8"/>
    <x v="2"/>
    <d v="2026-06-10T00:00:00"/>
  </r>
  <r>
    <n v="114"/>
    <s v="TechNova"/>
    <x v="2"/>
    <x v="4"/>
    <x v="2"/>
    <n v="6"/>
    <x v="4"/>
    <d v="2026-01-06T00:00:00"/>
  </r>
  <r>
    <n v="115"/>
    <s v="TechNova "/>
    <x v="2"/>
    <x v="0"/>
    <x v="3"/>
    <n v="8"/>
    <x v="4"/>
    <m/>
  </r>
  <r>
    <n v="116"/>
    <s v="DataSphere"/>
    <x v="1"/>
    <x v="3"/>
    <x v="3"/>
    <n v="8"/>
    <x v="1"/>
    <m/>
  </r>
  <r>
    <n v="117"/>
    <s v="TechNova "/>
    <x v="2"/>
    <x v="1"/>
    <x v="0"/>
    <n v="8"/>
    <x v="1"/>
    <d v="2026-06-10T00:00:00"/>
  </r>
  <r>
    <n v="118"/>
    <s v="Insight Corp"/>
    <x v="0"/>
    <x v="3"/>
    <x v="2"/>
    <n v="4.5"/>
    <x v="1"/>
    <d v="2026-01-06T00:00:00"/>
  </r>
  <r>
    <n v="119"/>
    <s v="TechNova"/>
    <x v="2"/>
    <x v="1"/>
    <x v="1"/>
    <n v="4.5"/>
    <x v="4"/>
    <m/>
  </r>
  <r>
    <n v="120"/>
    <s v="TechNova"/>
    <x v="2"/>
    <x v="0"/>
    <x v="2"/>
    <n v="4.5"/>
    <x v="3"/>
    <d v="2026-05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4" cacheId="4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J10:K15" firstHeaderRow="1" firstDataRow="1" firstDataCol="1"/>
  <pivotFields count="8">
    <pivotField dataField="1" showAll="0"/>
    <pivotField showAll="0"/>
    <pivotField showAll="0">
      <items count="5">
        <item x="3"/>
        <item x="1"/>
        <item x="0"/>
        <item x="2"/>
        <item t="default"/>
      </items>
    </pivotField>
    <pivotField showAll="0">
      <items count="7">
        <item m="1" x="5"/>
        <item x="2"/>
        <item x="3"/>
        <item x="4"/>
        <item x="1"/>
        <item x="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job_id" fld="0" subtotal="count" baseField="4" baseItem="0"/>
  </dataFields>
  <chartFormats count="5"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3" cacheId="4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G10:H15" firstHeaderRow="1" firstDataRow="1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>
      <items count="7">
        <item m="1" x="5"/>
        <item x="2"/>
        <item x="3"/>
        <item x="4"/>
        <item x="1"/>
        <item x="0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_lpa" fld="5" subtotal="average" baseField="2" baseItem="1" numFmtId="2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2" cacheId="4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D10:E16" firstHeaderRow="1" firstDataRow="1" firstDataCol="1"/>
  <pivotFields count="8">
    <pivotField dataField="1" showAll="0"/>
    <pivotField showAll="0"/>
    <pivotField showAll="0"/>
    <pivotField axis="axisRow" showAll="0">
      <items count="7">
        <item m="1" x="5"/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3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job_id" fld="0" subtotal="count" baseField="2" baseItem="0"/>
  </dataFields>
  <chartFormats count="6"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1" cacheId="4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0:B15" firstHeaderRow="1" firstDataRow="1" firstDataCol="1"/>
  <pivotFields count="8">
    <pivotField dataField="1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job_id" fld="0" subtotal="count" baseField="2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H120" totalsRowShown="0" headerRowDxfId="16" headerRowBorderDxfId="15" tableBorderDxfId="14" totalsRowBorderDxfId="13">
  <autoFilter ref="A1:H120"/>
  <tableColumns count="8">
    <tableColumn id="1" name="job_id" dataDxfId="12"/>
    <tableColumn id="2" name="company" dataDxfId="11"/>
    <tableColumn id="3" name="Final_Company" dataDxfId="10">
      <calculatedColumnFormula>UPPER(TRIM(B2))</calculatedColumnFormula>
    </tableColumn>
    <tableColumn id="10" name="Location" dataDxfId="9"/>
    <tableColumn id="5" name="experience_years" dataDxfId="8"/>
    <tableColumn id="6" name="salary_lpa" dataDxfId="7"/>
    <tableColumn id="11" name="skills" dataDxfId="6"/>
    <tableColumn id="8" name="posted_date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I2:J7" totalsRowShown="0" headerRowBorderDxfId="4" tableBorderDxfId="3" totalsRowBorderDxfId="2">
  <autoFilter ref="I2:J7"/>
  <tableColumns count="2">
    <tableColumn id="1" name="Skill" dataDxfId="1"/>
    <tableColumn id="2" name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workbookViewId="0">
      <selection activeCell="D115" sqref="D11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D2">
        <v>3</v>
      </c>
      <c r="F2" t="s">
        <v>8</v>
      </c>
    </row>
    <row r="3" spans="1:7" x14ac:dyDescent="0.3">
      <c r="A3">
        <v>2</v>
      </c>
      <c r="B3" t="s">
        <v>9</v>
      </c>
      <c r="C3" t="s">
        <v>10</v>
      </c>
      <c r="D3">
        <v>2</v>
      </c>
      <c r="E3">
        <v>6</v>
      </c>
      <c r="F3" t="s">
        <v>11</v>
      </c>
      <c r="G3" s="1">
        <v>46143</v>
      </c>
    </row>
    <row r="4" spans="1:7" x14ac:dyDescent="0.3">
      <c r="A4">
        <v>3</v>
      </c>
      <c r="B4" t="s">
        <v>12</v>
      </c>
      <c r="C4" t="s">
        <v>13</v>
      </c>
      <c r="E4">
        <v>8</v>
      </c>
      <c r="G4" s="1">
        <v>46143</v>
      </c>
    </row>
    <row r="5" spans="1:7" x14ac:dyDescent="0.3">
      <c r="A5">
        <v>4</v>
      </c>
      <c r="B5" t="s">
        <v>12</v>
      </c>
      <c r="C5" t="s">
        <v>14</v>
      </c>
      <c r="D5">
        <v>0</v>
      </c>
      <c r="F5" t="s">
        <v>11</v>
      </c>
      <c r="G5" s="1">
        <v>46143</v>
      </c>
    </row>
    <row r="6" spans="1:7" x14ac:dyDescent="0.3">
      <c r="A6">
        <v>5</v>
      </c>
      <c r="B6" t="s">
        <v>12</v>
      </c>
      <c r="C6" t="s">
        <v>14</v>
      </c>
      <c r="D6">
        <v>3</v>
      </c>
      <c r="E6">
        <v>8</v>
      </c>
      <c r="F6" t="s">
        <v>15</v>
      </c>
      <c r="G6" s="1">
        <v>46183</v>
      </c>
    </row>
    <row r="7" spans="1:7" x14ac:dyDescent="0.3">
      <c r="A7">
        <v>6</v>
      </c>
      <c r="B7" t="s">
        <v>16</v>
      </c>
      <c r="C7" t="s">
        <v>13</v>
      </c>
      <c r="E7">
        <v>8</v>
      </c>
      <c r="G7" s="1">
        <v>46028</v>
      </c>
    </row>
    <row r="8" spans="1:7" x14ac:dyDescent="0.3">
      <c r="A8">
        <v>7</v>
      </c>
      <c r="B8" t="s">
        <v>12</v>
      </c>
      <c r="C8" t="s">
        <v>17</v>
      </c>
      <c r="D8">
        <v>0</v>
      </c>
      <c r="E8">
        <v>6</v>
      </c>
      <c r="F8" t="s">
        <v>18</v>
      </c>
      <c r="G8" s="1">
        <v>46183</v>
      </c>
    </row>
    <row r="9" spans="1:7" x14ac:dyDescent="0.3">
      <c r="A9">
        <v>8</v>
      </c>
      <c r="B9" t="s">
        <v>7</v>
      </c>
      <c r="C9" t="s">
        <v>17</v>
      </c>
      <c r="D9">
        <v>3</v>
      </c>
      <c r="E9">
        <v>6</v>
      </c>
      <c r="F9" t="s">
        <v>15</v>
      </c>
    </row>
    <row r="10" spans="1:7" x14ac:dyDescent="0.3">
      <c r="A10">
        <v>9</v>
      </c>
      <c r="B10" t="s">
        <v>19</v>
      </c>
      <c r="C10" t="s">
        <v>20</v>
      </c>
      <c r="E10">
        <v>6</v>
      </c>
      <c r="F10" t="s">
        <v>15</v>
      </c>
      <c r="G10" s="1">
        <v>46183</v>
      </c>
    </row>
    <row r="11" spans="1:7" x14ac:dyDescent="0.3">
      <c r="A11">
        <v>10</v>
      </c>
      <c r="B11" t="s">
        <v>19</v>
      </c>
      <c r="C11" t="s">
        <v>17</v>
      </c>
      <c r="D11">
        <v>0</v>
      </c>
      <c r="E11">
        <v>8</v>
      </c>
      <c r="F11" t="s">
        <v>15</v>
      </c>
    </row>
    <row r="12" spans="1:7" x14ac:dyDescent="0.3">
      <c r="A12">
        <v>11</v>
      </c>
      <c r="B12" t="s">
        <v>19</v>
      </c>
      <c r="C12" t="s">
        <v>13</v>
      </c>
      <c r="D12">
        <v>2</v>
      </c>
      <c r="E12">
        <v>4.5</v>
      </c>
      <c r="F12" t="s">
        <v>18</v>
      </c>
      <c r="G12" s="1">
        <v>46028</v>
      </c>
    </row>
    <row r="13" spans="1:7" x14ac:dyDescent="0.3">
      <c r="A13">
        <v>12</v>
      </c>
      <c r="B13" t="s">
        <v>16</v>
      </c>
      <c r="C13" t="s">
        <v>10</v>
      </c>
      <c r="D13">
        <v>1</v>
      </c>
      <c r="E13">
        <v>6</v>
      </c>
      <c r="F13" t="s">
        <v>11</v>
      </c>
      <c r="G13" s="1">
        <v>46028</v>
      </c>
    </row>
    <row r="14" spans="1:7" x14ac:dyDescent="0.3">
      <c r="A14">
        <v>13</v>
      </c>
      <c r="B14" t="s">
        <v>9</v>
      </c>
      <c r="C14" t="s">
        <v>13</v>
      </c>
      <c r="E14">
        <v>6</v>
      </c>
      <c r="F14" t="s">
        <v>15</v>
      </c>
      <c r="G14" s="1">
        <v>46183</v>
      </c>
    </row>
    <row r="15" spans="1:7" x14ac:dyDescent="0.3">
      <c r="A15">
        <v>14</v>
      </c>
      <c r="B15" t="s">
        <v>19</v>
      </c>
      <c r="C15" t="s">
        <v>20</v>
      </c>
      <c r="E15">
        <v>6</v>
      </c>
      <c r="F15" t="s">
        <v>11</v>
      </c>
    </row>
    <row r="16" spans="1:7" x14ac:dyDescent="0.3">
      <c r="A16">
        <v>15</v>
      </c>
      <c r="B16" t="s">
        <v>9</v>
      </c>
      <c r="C16" t="s">
        <v>17</v>
      </c>
      <c r="D16">
        <v>0</v>
      </c>
      <c r="E16">
        <v>10</v>
      </c>
      <c r="F16" t="s">
        <v>15</v>
      </c>
      <c r="G16" s="1">
        <v>46143</v>
      </c>
    </row>
    <row r="17" spans="1:7" x14ac:dyDescent="0.3">
      <c r="A17">
        <v>16</v>
      </c>
      <c r="B17" t="s">
        <v>12</v>
      </c>
      <c r="C17" t="s">
        <v>13</v>
      </c>
      <c r="E17">
        <v>10</v>
      </c>
      <c r="F17" t="s">
        <v>11</v>
      </c>
      <c r="G17" s="1">
        <v>46183</v>
      </c>
    </row>
    <row r="18" spans="1:7" x14ac:dyDescent="0.3">
      <c r="A18">
        <v>17</v>
      </c>
      <c r="B18" t="s">
        <v>16</v>
      </c>
      <c r="D18">
        <v>0</v>
      </c>
      <c r="E18">
        <v>8</v>
      </c>
      <c r="F18" t="s">
        <v>8</v>
      </c>
      <c r="G18" s="1">
        <v>46143</v>
      </c>
    </row>
    <row r="19" spans="1:7" x14ac:dyDescent="0.3">
      <c r="A19">
        <v>18</v>
      </c>
      <c r="B19" t="s">
        <v>16</v>
      </c>
      <c r="D19">
        <v>3</v>
      </c>
      <c r="E19">
        <v>6</v>
      </c>
      <c r="F19" t="s">
        <v>8</v>
      </c>
      <c r="G19" s="1">
        <v>46143</v>
      </c>
    </row>
    <row r="20" spans="1:7" x14ac:dyDescent="0.3">
      <c r="A20">
        <v>19</v>
      </c>
      <c r="B20" t="s">
        <v>16</v>
      </c>
      <c r="C20" t="s">
        <v>17</v>
      </c>
      <c r="D20">
        <v>1</v>
      </c>
      <c r="F20" t="s">
        <v>18</v>
      </c>
      <c r="G20" s="1">
        <v>46028</v>
      </c>
    </row>
    <row r="21" spans="1:7" x14ac:dyDescent="0.3">
      <c r="A21">
        <v>20</v>
      </c>
      <c r="B21" t="s">
        <v>12</v>
      </c>
      <c r="C21" t="s">
        <v>10</v>
      </c>
      <c r="D21">
        <v>1</v>
      </c>
      <c r="F21" t="s">
        <v>18</v>
      </c>
      <c r="G21" s="1">
        <v>46183</v>
      </c>
    </row>
    <row r="22" spans="1:7" x14ac:dyDescent="0.3">
      <c r="A22">
        <v>21</v>
      </c>
      <c r="B22" t="s">
        <v>7</v>
      </c>
      <c r="C22" t="s">
        <v>14</v>
      </c>
      <c r="D22">
        <v>3</v>
      </c>
      <c r="E22">
        <v>10</v>
      </c>
      <c r="F22" t="s">
        <v>8</v>
      </c>
    </row>
    <row r="23" spans="1:7" x14ac:dyDescent="0.3">
      <c r="A23">
        <v>22</v>
      </c>
      <c r="B23" t="s">
        <v>12</v>
      </c>
      <c r="C23" t="s">
        <v>13</v>
      </c>
      <c r="D23">
        <v>2</v>
      </c>
      <c r="E23">
        <v>6</v>
      </c>
    </row>
    <row r="24" spans="1:7" x14ac:dyDescent="0.3">
      <c r="A24">
        <v>23</v>
      </c>
      <c r="B24" t="s">
        <v>19</v>
      </c>
      <c r="C24" t="s">
        <v>10</v>
      </c>
      <c r="D24">
        <v>0</v>
      </c>
      <c r="F24" t="s">
        <v>18</v>
      </c>
      <c r="G24" s="1">
        <v>46028</v>
      </c>
    </row>
    <row r="25" spans="1:7" x14ac:dyDescent="0.3">
      <c r="A25">
        <v>24</v>
      </c>
      <c r="B25" t="s">
        <v>16</v>
      </c>
      <c r="C25" t="s">
        <v>13</v>
      </c>
      <c r="D25">
        <v>2</v>
      </c>
      <c r="E25">
        <v>6</v>
      </c>
      <c r="F25" t="s">
        <v>11</v>
      </c>
    </row>
    <row r="26" spans="1:7" x14ac:dyDescent="0.3">
      <c r="A26">
        <v>25</v>
      </c>
      <c r="B26" t="s">
        <v>12</v>
      </c>
      <c r="C26" t="s">
        <v>20</v>
      </c>
      <c r="D26">
        <v>3</v>
      </c>
      <c r="E26">
        <v>10</v>
      </c>
      <c r="F26" t="s">
        <v>15</v>
      </c>
      <c r="G26" s="1">
        <v>46028</v>
      </c>
    </row>
    <row r="27" spans="1:7" x14ac:dyDescent="0.3">
      <c r="A27">
        <v>26</v>
      </c>
      <c r="B27" t="s">
        <v>12</v>
      </c>
      <c r="C27" t="s">
        <v>10</v>
      </c>
      <c r="E27">
        <v>4.5</v>
      </c>
      <c r="F27" t="s">
        <v>18</v>
      </c>
      <c r="G27" s="1">
        <v>46183</v>
      </c>
    </row>
    <row r="28" spans="1:7" x14ac:dyDescent="0.3">
      <c r="A28">
        <v>27</v>
      </c>
      <c r="B28" t="s">
        <v>21</v>
      </c>
      <c r="C28" t="s">
        <v>13</v>
      </c>
      <c r="D28">
        <v>3</v>
      </c>
      <c r="E28">
        <v>10</v>
      </c>
      <c r="F28" t="s">
        <v>11</v>
      </c>
      <c r="G28" s="1">
        <v>46183</v>
      </c>
    </row>
    <row r="29" spans="1:7" x14ac:dyDescent="0.3">
      <c r="A29">
        <v>28</v>
      </c>
      <c r="B29" t="s">
        <v>21</v>
      </c>
      <c r="C29" t="s">
        <v>17</v>
      </c>
      <c r="D29">
        <v>0</v>
      </c>
      <c r="E29">
        <v>8</v>
      </c>
      <c r="F29" t="s">
        <v>18</v>
      </c>
      <c r="G29" s="1">
        <v>46183</v>
      </c>
    </row>
    <row r="30" spans="1:7" x14ac:dyDescent="0.3">
      <c r="A30">
        <v>29</v>
      </c>
      <c r="B30" t="s">
        <v>16</v>
      </c>
      <c r="C30" t="s">
        <v>20</v>
      </c>
      <c r="D30">
        <v>0</v>
      </c>
      <c r="E30">
        <v>10</v>
      </c>
      <c r="F30" t="s">
        <v>11</v>
      </c>
      <c r="G30" s="1">
        <v>46183</v>
      </c>
    </row>
    <row r="31" spans="1:7" x14ac:dyDescent="0.3">
      <c r="A31">
        <v>30</v>
      </c>
      <c r="B31" t="s">
        <v>12</v>
      </c>
      <c r="C31" t="s">
        <v>20</v>
      </c>
      <c r="D31">
        <v>1</v>
      </c>
      <c r="E31">
        <v>8</v>
      </c>
      <c r="F31" t="s">
        <v>18</v>
      </c>
      <c r="G31" s="1">
        <v>46183</v>
      </c>
    </row>
    <row r="32" spans="1:7" x14ac:dyDescent="0.3">
      <c r="A32">
        <v>31</v>
      </c>
      <c r="B32" t="s">
        <v>7</v>
      </c>
      <c r="C32" t="s">
        <v>13</v>
      </c>
      <c r="D32">
        <v>0</v>
      </c>
      <c r="F32" t="s">
        <v>11</v>
      </c>
    </row>
    <row r="33" spans="1:7" x14ac:dyDescent="0.3">
      <c r="A33">
        <v>32</v>
      </c>
      <c r="B33" t="s">
        <v>21</v>
      </c>
      <c r="C33" t="s">
        <v>14</v>
      </c>
      <c r="D33">
        <v>1</v>
      </c>
      <c r="E33">
        <v>6</v>
      </c>
      <c r="F33" t="s">
        <v>15</v>
      </c>
      <c r="G33" s="1">
        <v>46143</v>
      </c>
    </row>
    <row r="34" spans="1:7" x14ac:dyDescent="0.3">
      <c r="A34">
        <v>33</v>
      </c>
      <c r="B34" t="s">
        <v>9</v>
      </c>
      <c r="C34" t="s">
        <v>20</v>
      </c>
      <c r="D34">
        <v>2</v>
      </c>
    </row>
    <row r="35" spans="1:7" x14ac:dyDescent="0.3">
      <c r="A35">
        <v>34</v>
      </c>
      <c r="B35" t="s">
        <v>12</v>
      </c>
      <c r="E35">
        <v>8</v>
      </c>
      <c r="F35" t="s">
        <v>8</v>
      </c>
      <c r="G35" s="1">
        <v>46183</v>
      </c>
    </row>
    <row r="36" spans="1:7" x14ac:dyDescent="0.3">
      <c r="A36">
        <v>35</v>
      </c>
      <c r="B36" t="s">
        <v>19</v>
      </c>
      <c r="C36" t="s">
        <v>13</v>
      </c>
      <c r="D36">
        <v>2</v>
      </c>
      <c r="F36" t="s">
        <v>18</v>
      </c>
      <c r="G36" s="1">
        <v>46028</v>
      </c>
    </row>
    <row r="37" spans="1:7" x14ac:dyDescent="0.3">
      <c r="A37">
        <v>36</v>
      </c>
      <c r="B37" t="s">
        <v>16</v>
      </c>
      <c r="D37">
        <v>2</v>
      </c>
      <c r="F37" t="s">
        <v>8</v>
      </c>
    </row>
    <row r="38" spans="1:7" x14ac:dyDescent="0.3">
      <c r="A38">
        <v>37</v>
      </c>
      <c r="B38" t="s">
        <v>9</v>
      </c>
      <c r="C38" t="s">
        <v>13</v>
      </c>
      <c r="D38">
        <v>3</v>
      </c>
      <c r="E38">
        <v>8</v>
      </c>
      <c r="G38" s="1">
        <v>46028</v>
      </c>
    </row>
    <row r="39" spans="1:7" x14ac:dyDescent="0.3">
      <c r="A39">
        <v>38</v>
      </c>
      <c r="B39" t="s">
        <v>7</v>
      </c>
      <c r="C39" t="s">
        <v>17</v>
      </c>
      <c r="D39">
        <v>2</v>
      </c>
      <c r="F39" t="s">
        <v>18</v>
      </c>
      <c r="G39" s="1">
        <v>46143</v>
      </c>
    </row>
    <row r="40" spans="1:7" x14ac:dyDescent="0.3">
      <c r="A40">
        <v>39</v>
      </c>
      <c r="B40" t="s">
        <v>16</v>
      </c>
      <c r="C40" t="s">
        <v>17</v>
      </c>
      <c r="D40">
        <v>2</v>
      </c>
      <c r="E40">
        <v>4.5</v>
      </c>
      <c r="F40" t="s">
        <v>8</v>
      </c>
    </row>
    <row r="41" spans="1:7" x14ac:dyDescent="0.3">
      <c r="A41">
        <v>40</v>
      </c>
      <c r="B41" t="s">
        <v>7</v>
      </c>
      <c r="C41" t="s">
        <v>10</v>
      </c>
      <c r="E41">
        <v>8</v>
      </c>
      <c r="F41" t="s">
        <v>8</v>
      </c>
      <c r="G41" s="1">
        <v>46183</v>
      </c>
    </row>
    <row r="42" spans="1:7" x14ac:dyDescent="0.3">
      <c r="A42">
        <v>41</v>
      </c>
      <c r="B42" t="s">
        <v>7</v>
      </c>
      <c r="C42" t="s">
        <v>10</v>
      </c>
      <c r="D42">
        <v>3</v>
      </c>
      <c r="F42" t="s">
        <v>18</v>
      </c>
    </row>
    <row r="43" spans="1:7" x14ac:dyDescent="0.3">
      <c r="A43">
        <v>42</v>
      </c>
      <c r="B43" t="s">
        <v>21</v>
      </c>
      <c r="C43" t="s">
        <v>10</v>
      </c>
      <c r="D43">
        <v>1</v>
      </c>
      <c r="E43">
        <v>8</v>
      </c>
      <c r="F43" t="s">
        <v>15</v>
      </c>
    </row>
    <row r="44" spans="1:7" x14ac:dyDescent="0.3">
      <c r="A44">
        <v>43</v>
      </c>
      <c r="B44" t="s">
        <v>21</v>
      </c>
      <c r="C44" t="s">
        <v>10</v>
      </c>
      <c r="D44">
        <v>2</v>
      </c>
      <c r="E44">
        <v>10</v>
      </c>
      <c r="F44" t="s">
        <v>8</v>
      </c>
      <c r="G44" s="1">
        <v>46183</v>
      </c>
    </row>
    <row r="45" spans="1:7" x14ac:dyDescent="0.3">
      <c r="A45">
        <v>44</v>
      </c>
      <c r="B45" t="s">
        <v>19</v>
      </c>
      <c r="C45" t="s">
        <v>13</v>
      </c>
      <c r="D45">
        <v>3</v>
      </c>
      <c r="E45">
        <v>8</v>
      </c>
      <c r="F45" t="s">
        <v>15</v>
      </c>
      <c r="G45" s="1">
        <v>46183</v>
      </c>
    </row>
    <row r="46" spans="1:7" x14ac:dyDescent="0.3">
      <c r="A46">
        <v>45</v>
      </c>
      <c r="B46" t="s">
        <v>16</v>
      </c>
      <c r="C46" t="s">
        <v>14</v>
      </c>
      <c r="D46">
        <v>0</v>
      </c>
      <c r="E46">
        <v>8</v>
      </c>
      <c r="F46" t="s">
        <v>15</v>
      </c>
      <c r="G46" s="1">
        <v>46028</v>
      </c>
    </row>
    <row r="47" spans="1:7" x14ac:dyDescent="0.3">
      <c r="A47">
        <v>46</v>
      </c>
      <c r="B47" t="s">
        <v>7</v>
      </c>
      <c r="C47" t="s">
        <v>17</v>
      </c>
      <c r="E47">
        <v>6</v>
      </c>
      <c r="G47" s="1">
        <v>46183</v>
      </c>
    </row>
    <row r="48" spans="1:7" x14ac:dyDescent="0.3">
      <c r="A48">
        <v>47</v>
      </c>
      <c r="B48" t="s">
        <v>9</v>
      </c>
      <c r="C48" t="s">
        <v>13</v>
      </c>
      <c r="F48" t="s">
        <v>8</v>
      </c>
      <c r="G48" s="1">
        <v>46143</v>
      </c>
    </row>
    <row r="49" spans="1:7" x14ac:dyDescent="0.3">
      <c r="A49">
        <v>48</v>
      </c>
      <c r="B49" t="s">
        <v>12</v>
      </c>
      <c r="D49">
        <v>1</v>
      </c>
      <c r="E49">
        <v>4.5</v>
      </c>
      <c r="F49" t="s">
        <v>15</v>
      </c>
      <c r="G49" s="1">
        <v>46143</v>
      </c>
    </row>
    <row r="50" spans="1:7" x14ac:dyDescent="0.3">
      <c r="A50">
        <v>49</v>
      </c>
      <c r="B50" t="s">
        <v>19</v>
      </c>
      <c r="C50" t="s">
        <v>14</v>
      </c>
      <c r="E50">
        <v>10</v>
      </c>
      <c r="F50" t="s">
        <v>18</v>
      </c>
      <c r="G50" s="1">
        <v>46143</v>
      </c>
    </row>
    <row r="51" spans="1:7" x14ac:dyDescent="0.3">
      <c r="A51">
        <v>49</v>
      </c>
      <c r="B51" t="s">
        <v>9</v>
      </c>
      <c r="C51" t="s">
        <v>20</v>
      </c>
      <c r="D51">
        <v>1</v>
      </c>
      <c r="F51" t="s">
        <v>8</v>
      </c>
    </row>
    <row r="52" spans="1:7" x14ac:dyDescent="0.3">
      <c r="A52">
        <v>51</v>
      </c>
      <c r="B52" t="s">
        <v>16</v>
      </c>
      <c r="C52" t="s">
        <v>13</v>
      </c>
      <c r="D52">
        <v>0</v>
      </c>
      <c r="E52">
        <v>4.5</v>
      </c>
      <c r="F52" t="s">
        <v>18</v>
      </c>
      <c r="G52" s="1">
        <v>46028</v>
      </c>
    </row>
    <row r="53" spans="1:7" x14ac:dyDescent="0.3">
      <c r="A53">
        <v>52</v>
      </c>
      <c r="B53" t="s">
        <v>9</v>
      </c>
      <c r="C53" t="s">
        <v>20</v>
      </c>
      <c r="D53">
        <v>3</v>
      </c>
      <c r="E53">
        <v>6</v>
      </c>
    </row>
    <row r="54" spans="1:7" x14ac:dyDescent="0.3">
      <c r="A54">
        <v>53</v>
      </c>
      <c r="B54" t="s">
        <v>12</v>
      </c>
      <c r="C54" t="s">
        <v>17</v>
      </c>
      <c r="D54">
        <v>3</v>
      </c>
    </row>
    <row r="55" spans="1:7" x14ac:dyDescent="0.3">
      <c r="A55">
        <v>54</v>
      </c>
      <c r="B55" t="s">
        <v>16</v>
      </c>
      <c r="C55" t="s">
        <v>20</v>
      </c>
      <c r="E55">
        <v>6</v>
      </c>
      <c r="F55" t="s">
        <v>18</v>
      </c>
      <c r="G55" s="1">
        <v>46028</v>
      </c>
    </row>
    <row r="56" spans="1:7" x14ac:dyDescent="0.3">
      <c r="A56">
        <v>55</v>
      </c>
      <c r="B56" t="s">
        <v>7</v>
      </c>
      <c r="C56" t="s">
        <v>14</v>
      </c>
      <c r="D56">
        <v>0</v>
      </c>
      <c r="E56">
        <v>6</v>
      </c>
      <c r="F56" t="s">
        <v>11</v>
      </c>
      <c r="G56" s="1">
        <v>46143</v>
      </c>
    </row>
    <row r="57" spans="1:7" x14ac:dyDescent="0.3">
      <c r="A57">
        <v>56</v>
      </c>
      <c r="B57" t="s">
        <v>16</v>
      </c>
      <c r="C57" t="s">
        <v>10</v>
      </c>
      <c r="D57">
        <v>1</v>
      </c>
      <c r="E57">
        <v>6</v>
      </c>
      <c r="G57" s="1">
        <v>46028</v>
      </c>
    </row>
    <row r="58" spans="1:7" x14ac:dyDescent="0.3">
      <c r="A58">
        <v>57</v>
      </c>
      <c r="B58" t="s">
        <v>19</v>
      </c>
      <c r="C58" t="s">
        <v>10</v>
      </c>
      <c r="D58">
        <v>1</v>
      </c>
      <c r="E58">
        <v>10</v>
      </c>
      <c r="F58" t="s">
        <v>11</v>
      </c>
      <c r="G58" s="1">
        <v>46143</v>
      </c>
    </row>
    <row r="59" spans="1:7" x14ac:dyDescent="0.3">
      <c r="A59">
        <v>58</v>
      </c>
      <c r="B59" t="s">
        <v>9</v>
      </c>
      <c r="C59" t="s">
        <v>10</v>
      </c>
      <c r="D59">
        <v>3</v>
      </c>
      <c r="G59" s="1">
        <v>46143</v>
      </c>
    </row>
    <row r="60" spans="1:7" x14ac:dyDescent="0.3">
      <c r="A60">
        <v>59</v>
      </c>
      <c r="B60" t="s">
        <v>21</v>
      </c>
      <c r="C60" t="s">
        <v>20</v>
      </c>
      <c r="D60">
        <v>3</v>
      </c>
      <c r="F60" t="s">
        <v>15</v>
      </c>
      <c r="G60" s="1">
        <v>46183</v>
      </c>
    </row>
    <row r="61" spans="1:7" x14ac:dyDescent="0.3">
      <c r="A61">
        <v>60</v>
      </c>
      <c r="B61" t="s">
        <v>9</v>
      </c>
      <c r="C61" t="s">
        <v>17</v>
      </c>
      <c r="D61">
        <v>2</v>
      </c>
      <c r="E61">
        <v>8</v>
      </c>
      <c r="G61" s="1">
        <v>46143</v>
      </c>
    </row>
    <row r="62" spans="1:7" x14ac:dyDescent="0.3">
      <c r="A62">
        <v>61</v>
      </c>
      <c r="B62" t="s">
        <v>21</v>
      </c>
      <c r="C62" t="s">
        <v>20</v>
      </c>
      <c r="E62">
        <v>10</v>
      </c>
      <c r="F62" t="s">
        <v>18</v>
      </c>
      <c r="G62" s="1">
        <v>46028</v>
      </c>
    </row>
    <row r="63" spans="1:7" x14ac:dyDescent="0.3">
      <c r="A63">
        <v>62</v>
      </c>
      <c r="B63" t="s">
        <v>21</v>
      </c>
      <c r="C63" t="s">
        <v>10</v>
      </c>
      <c r="D63">
        <v>0</v>
      </c>
      <c r="E63">
        <v>6</v>
      </c>
      <c r="F63" t="s">
        <v>8</v>
      </c>
      <c r="G63" s="1">
        <v>46183</v>
      </c>
    </row>
    <row r="64" spans="1:7" x14ac:dyDescent="0.3">
      <c r="A64">
        <v>63</v>
      </c>
      <c r="B64" t="s">
        <v>7</v>
      </c>
      <c r="C64" t="s">
        <v>13</v>
      </c>
      <c r="D64">
        <v>3</v>
      </c>
      <c r="F64" t="s">
        <v>18</v>
      </c>
      <c r="G64" s="1">
        <v>46183</v>
      </c>
    </row>
    <row r="65" spans="1:7" x14ac:dyDescent="0.3">
      <c r="A65">
        <v>64</v>
      </c>
      <c r="B65" t="s">
        <v>7</v>
      </c>
      <c r="D65">
        <v>2</v>
      </c>
      <c r="G65" s="1">
        <v>46028</v>
      </c>
    </row>
    <row r="66" spans="1:7" x14ac:dyDescent="0.3">
      <c r="A66">
        <v>65</v>
      </c>
      <c r="B66" t="s">
        <v>19</v>
      </c>
      <c r="C66" t="s">
        <v>13</v>
      </c>
      <c r="E66">
        <v>8</v>
      </c>
      <c r="G66" s="1">
        <v>46028</v>
      </c>
    </row>
    <row r="67" spans="1:7" x14ac:dyDescent="0.3">
      <c r="A67">
        <v>66</v>
      </c>
      <c r="B67" t="s">
        <v>21</v>
      </c>
      <c r="C67" t="s">
        <v>10</v>
      </c>
      <c r="D67">
        <v>1</v>
      </c>
      <c r="E67">
        <v>8</v>
      </c>
      <c r="G67" s="1">
        <v>46183</v>
      </c>
    </row>
    <row r="68" spans="1:7" x14ac:dyDescent="0.3">
      <c r="A68">
        <v>67</v>
      </c>
      <c r="B68" t="s">
        <v>19</v>
      </c>
      <c r="C68" t="s">
        <v>13</v>
      </c>
      <c r="D68">
        <v>0</v>
      </c>
      <c r="E68">
        <v>10</v>
      </c>
      <c r="F68" t="s">
        <v>15</v>
      </c>
    </row>
    <row r="69" spans="1:7" x14ac:dyDescent="0.3">
      <c r="A69">
        <v>68</v>
      </c>
      <c r="B69" t="s">
        <v>19</v>
      </c>
      <c r="C69" t="s">
        <v>13</v>
      </c>
      <c r="F69" t="s">
        <v>11</v>
      </c>
    </row>
    <row r="70" spans="1:7" x14ac:dyDescent="0.3">
      <c r="A70">
        <v>69</v>
      </c>
      <c r="B70" t="s">
        <v>12</v>
      </c>
      <c r="C70" t="s">
        <v>20</v>
      </c>
      <c r="D70">
        <v>3</v>
      </c>
      <c r="E70">
        <v>10</v>
      </c>
      <c r="F70" t="s">
        <v>18</v>
      </c>
    </row>
    <row r="71" spans="1:7" x14ac:dyDescent="0.3">
      <c r="A71">
        <v>70</v>
      </c>
      <c r="B71" t="s">
        <v>19</v>
      </c>
      <c r="C71" t="s">
        <v>10</v>
      </c>
      <c r="D71">
        <v>2</v>
      </c>
      <c r="E71">
        <v>10</v>
      </c>
    </row>
    <row r="72" spans="1:7" x14ac:dyDescent="0.3">
      <c r="A72">
        <v>71</v>
      </c>
      <c r="B72" t="s">
        <v>16</v>
      </c>
      <c r="C72" t="s">
        <v>10</v>
      </c>
      <c r="F72" t="s">
        <v>11</v>
      </c>
      <c r="G72" s="1">
        <v>46143</v>
      </c>
    </row>
    <row r="73" spans="1:7" x14ac:dyDescent="0.3">
      <c r="A73">
        <v>72</v>
      </c>
      <c r="B73" t="s">
        <v>16</v>
      </c>
      <c r="E73">
        <v>10</v>
      </c>
      <c r="F73" t="s">
        <v>15</v>
      </c>
      <c r="G73" s="1">
        <v>46028</v>
      </c>
    </row>
    <row r="74" spans="1:7" x14ac:dyDescent="0.3">
      <c r="A74">
        <v>73</v>
      </c>
      <c r="B74" t="s">
        <v>12</v>
      </c>
      <c r="C74" t="s">
        <v>17</v>
      </c>
      <c r="E74">
        <v>6</v>
      </c>
      <c r="F74" t="s">
        <v>11</v>
      </c>
      <c r="G74" s="1">
        <v>46143</v>
      </c>
    </row>
    <row r="75" spans="1:7" x14ac:dyDescent="0.3">
      <c r="A75">
        <v>74</v>
      </c>
      <c r="B75" t="s">
        <v>9</v>
      </c>
      <c r="C75" t="s">
        <v>10</v>
      </c>
      <c r="E75">
        <v>6</v>
      </c>
      <c r="F75" t="s">
        <v>15</v>
      </c>
    </row>
    <row r="76" spans="1:7" x14ac:dyDescent="0.3">
      <c r="A76">
        <v>75</v>
      </c>
      <c r="B76" t="s">
        <v>19</v>
      </c>
      <c r="C76" t="s">
        <v>13</v>
      </c>
      <c r="E76">
        <v>8</v>
      </c>
      <c r="F76" t="s">
        <v>11</v>
      </c>
    </row>
    <row r="77" spans="1:7" x14ac:dyDescent="0.3">
      <c r="A77">
        <v>76</v>
      </c>
      <c r="B77" t="s">
        <v>9</v>
      </c>
      <c r="C77" t="s">
        <v>14</v>
      </c>
      <c r="E77">
        <v>8</v>
      </c>
      <c r="F77" t="s">
        <v>18</v>
      </c>
      <c r="G77" s="1">
        <v>46143</v>
      </c>
    </row>
    <row r="78" spans="1:7" x14ac:dyDescent="0.3">
      <c r="A78">
        <v>77</v>
      </c>
      <c r="B78" t="s">
        <v>7</v>
      </c>
      <c r="C78" t="s">
        <v>10</v>
      </c>
      <c r="D78">
        <v>2</v>
      </c>
      <c r="E78">
        <v>6</v>
      </c>
      <c r="F78" t="s">
        <v>11</v>
      </c>
      <c r="G78" s="1">
        <v>46143</v>
      </c>
    </row>
    <row r="79" spans="1:7" x14ac:dyDescent="0.3">
      <c r="A79">
        <v>78</v>
      </c>
      <c r="B79" t="s">
        <v>9</v>
      </c>
      <c r="C79" t="s">
        <v>13</v>
      </c>
      <c r="D79">
        <v>0</v>
      </c>
      <c r="E79">
        <v>10</v>
      </c>
      <c r="F79" t="s">
        <v>18</v>
      </c>
      <c r="G79" s="1">
        <v>46183</v>
      </c>
    </row>
    <row r="80" spans="1:7" x14ac:dyDescent="0.3">
      <c r="A80">
        <v>79</v>
      </c>
      <c r="B80" t="s">
        <v>9</v>
      </c>
      <c r="D80">
        <v>1</v>
      </c>
      <c r="F80" t="s">
        <v>8</v>
      </c>
    </row>
    <row r="81" spans="1:7" x14ac:dyDescent="0.3">
      <c r="A81">
        <v>80</v>
      </c>
      <c r="B81" t="s">
        <v>9</v>
      </c>
      <c r="E81">
        <v>10</v>
      </c>
      <c r="F81" t="s">
        <v>11</v>
      </c>
      <c r="G81" s="1">
        <v>46183</v>
      </c>
    </row>
    <row r="82" spans="1:7" x14ac:dyDescent="0.3">
      <c r="A82">
        <v>81</v>
      </c>
      <c r="B82" t="s">
        <v>9</v>
      </c>
      <c r="C82" t="s">
        <v>10</v>
      </c>
      <c r="D82">
        <v>3</v>
      </c>
      <c r="E82">
        <v>10</v>
      </c>
      <c r="G82" s="1">
        <v>46183</v>
      </c>
    </row>
    <row r="83" spans="1:7" x14ac:dyDescent="0.3">
      <c r="A83">
        <v>82</v>
      </c>
      <c r="B83" t="s">
        <v>9</v>
      </c>
      <c r="C83" t="s">
        <v>20</v>
      </c>
      <c r="E83">
        <v>4.5</v>
      </c>
      <c r="F83" t="s">
        <v>11</v>
      </c>
      <c r="G83" s="1">
        <v>46143</v>
      </c>
    </row>
    <row r="84" spans="1:7" x14ac:dyDescent="0.3">
      <c r="A84">
        <v>83</v>
      </c>
      <c r="B84" t="s">
        <v>7</v>
      </c>
      <c r="D84">
        <v>1</v>
      </c>
      <c r="E84">
        <v>10</v>
      </c>
      <c r="F84" t="s">
        <v>8</v>
      </c>
      <c r="G84" s="1">
        <v>46143</v>
      </c>
    </row>
    <row r="85" spans="1:7" x14ac:dyDescent="0.3">
      <c r="A85">
        <v>84</v>
      </c>
      <c r="B85" t="s">
        <v>19</v>
      </c>
      <c r="C85" t="s">
        <v>20</v>
      </c>
      <c r="E85">
        <v>8</v>
      </c>
      <c r="G85" s="1">
        <v>46143</v>
      </c>
    </row>
    <row r="86" spans="1:7" x14ac:dyDescent="0.3">
      <c r="A86">
        <v>85</v>
      </c>
      <c r="B86" t="s">
        <v>21</v>
      </c>
      <c r="D86">
        <v>3</v>
      </c>
      <c r="E86">
        <v>8</v>
      </c>
      <c r="F86" t="s">
        <v>18</v>
      </c>
      <c r="G86" s="1">
        <v>46143</v>
      </c>
    </row>
    <row r="87" spans="1:7" x14ac:dyDescent="0.3">
      <c r="A87">
        <v>86</v>
      </c>
      <c r="B87" t="s">
        <v>12</v>
      </c>
      <c r="C87" t="s">
        <v>14</v>
      </c>
      <c r="D87">
        <v>1</v>
      </c>
      <c r="E87">
        <v>4.5</v>
      </c>
    </row>
    <row r="88" spans="1:7" x14ac:dyDescent="0.3">
      <c r="A88">
        <v>87</v>
      </c>
      <c r="B88" t="s">
        <v>7</v>
      </c>
      <c r="C88" t="s">
        <v>20</v>
      </c>
      <c r="D88">
        <v>0</v>
      </c>
      <c r="E88">
        <v>10</v>
      </c>
      <c r="F88" t="s">
        <v>15</v>
      </c>
      <c r="G88" s="1">
        <v>46028</v>
      </c>
    </row>
    <row r="89" spans="1:7" x14ac:dyDescent="0.3">
      <c r="A89">
        <v>88</v>
      </c>
      <c r="B89" t="s">
        <v>16</v>
      </c>
      <c r="C89" t="s">
        <v>20</v>
      </c>
      <c r="D89">
        <v>2</v>
      </c>
      <c r="E89">
        <v>6</v>
      </c>
      <c r="F89" t="s">
        <v>15</v>
      </c>
      <c r="G89" s="1">
        <v>46028</v>
      </c>
    </row>
    <row r="90" spans="1:7" x14ac:dyDescent="0.3">
      <c r="A90">
        <v>89</v>
      </c>
      <c r="B90" t="s">
        <v>19</v>
      </c>
      <c r="C90" t="s">
        <v>14</v>
      </c>
      <c r="D90">
        <v>1</v>
      </c>
      <c r="E90">
        <v>10</v>
      </c>
      <c r="F90" t="s">
        <v>15</v>
      </c>
    </row>
    <row r="91" spans="1:7" x14ac:dyDescent="0.3">
      <c r="A91">
        <v>90</v>
      </c>
      <c r="B91" t="s">
        <v>21</v>
      </c>
      <c r="C91" t="s">
        <v>20</v>
      </c>
      <c r="F91" t="s">
        <v>18</v>
      </c>
      <c r="G91" s="1">
        <v>46143</v>
      </c>
    </row>
    <row r="92" spans="1:7" x14ac:dyDescent="0.3">
      <c r="A92">
        <v>91</v>
      </c>
      <c r="B92" t="s">
        <v>9</v>
      </c>
      <c r="C92" t="s">
        <v>10</v>
      </c>
      <c r="E92">
        <v>10</v>
      </c>
      <c r="G92" s="1">
        <v>46183</v>
      </c>
    </row>
    <row r="93" spans="1:7" x14ac:dyDescent="0.3">
      <c r="A93">
        <v>92</v>
      </c>
      <c r="B93" t="s">
        <v>9</v>
      </c>
      <c r="C93" t="s">
        <v>14</v>
      </c>
      <c r="D93">
        <v>1</v>
      </c>
      <c r="E93">
        <v>10</v>
      </c>
      <c r="F93" t="s">
        <v>18</v>
      </c>
      <c r="G93" s="1">
        <v>46028</v>
      </c>
    </row>
    <row r="94" spans="1:7" x14ac:dyDescent="0.3">
      <c r="A94">
        <v>93</v>
      </c>
      <c r="B94" t="s">
        <v>12</v>
      </c>
      <c r="D94">
        <v>0</v>
      </c>
      <c r="E94">
        <v>8</v>
      </c>
      <c r="F94" t="s">
        <v>8</v>
      </c>
      <c r="G94" s="1">
        <v>46143</v>
      </c>
    </row>
    <row r="95" spans="1:7" x14ac:dyDescent="0.3">
      <c r="A95">
        <v>94</v>
      </c>
      <c r="B95" t="s">
        <v>12</v>
      </c>
      <c r="C95" t="s">
        <v>13</v>
      </c>
      <c r="D95">
        <v>3</v>
      </c>
      <c r="E95">
        <v>10</v>
      </c>
      <c r="G95" s="1">
        <v>46028</v>
      </c>
    </row>
    <row r="96" spans="1:7" x14ac:dyDescent="0.3">
      <c r="A96">
        <v>95</v>
      </c>
      <c r="B96" t="s">
        <v>16</v>
      </c>
      <c r="C96" t="s">
        <v>17</v>
      </c>
      <c r="D96">
        <v>2</v>
      </c>
      <c r="E96">
        <v>4.5</v>
      </c>
      <c r="F96" t="s">
        <v>8</v>
      </c>
      <c r="G96" s="1">
        <v>46143</v>
      </c>
    </row>
    <row r="97" spans="1:7" x14ac:dyDescent="0.3">
      <c r="A97">
        <v>96</v>
      </c>
      <c r="B97" t="s">
        <v>9</v>
      </c>
      <c r="E97">
        <v>6</v>
      </c>
      <c r="F97" t="s">
        <v>8</v>
      </c>
      <c r="G97" s="1">
        <v>46183</v>
      </c>
    </row>
    <row r="98" spans="1:7" x14ac:dyDescent="0.3">
      <c r="A98">
        <v>97</v>
      </c>
      <c r="B98" t="s">
        <v>12</v>
      </c>
      <c r="C98" t="s">
        <v>14</v>
      </c>
      <c r="F98" t="s">
        <v>11</v>
      </c>
      <c r="G98" s="1">
        <v>46028</v>
      </c>
    </row>
    <row r="99" spans="1:7" x14ac:dyDescent="0.3">
      <c r="A99">
        <v>98</v>
      </c>
      <c r="B99" t="s">
        <v>9</v>
      </c>
      <c r="C99" t="s">
        <v>20</v>
      </c>
      <c r="D99">
        <v>1</v>
      </c>
      <c r="F99" t="s">
        <v>15</v>
      </c>
    </row>
    <row r="100" spans="1:7" x14ac:dyDescent="0.3">
      <c r="A100">
        <v>99</v>
      </c>
      <c r="B100" t="s">
        <v>7</v>
      </c>
      <c r="C100" t="s">
        <v>10</v>
      </c>
      <c r="D100">
        <v>0</v>
      </c>
      <c r="E100">
        <v>4.5</v>
      </c>
      <c r="F100" t="s">
        <v>8</v>
      </c>
      <c r="G100" s="1">
        <v>46143</v>
      </c>
    </row>
    <row r="101" spans="1:7" x14ac:dyDescent="0.3">
      <c r="A101">
        <v>100</v>
      </c>
      <c r="B101" t="s">
        <v>21</v>
      </c>
      <c r="C101" t="s">
        <v>10</v>
      </c>
      <c r="D101">
        <v>2</v>
      </c>
      <c r="E101">
        <v>8</v>
      </c>
      <c r="F101" t="s">
        <v>11</v>
      </c>
      <c r="G101" s="1">
        <v>46143</v>
      </c>
    </row>
    <row r="102" spans="1:7" x14ac:dyDescent="0.3">
      <c r="A102">
        <v>101</v>
      </c>
      <c r="B102" t="s">
        <v>9</v>
      </c>
      <c r="C102" t="s">
        <v>14</v>
      </c>
      <c r="D102">
        <v>0</v>
      </c>
      <c r="E102">
        <v>4.5</v>
      </c>
      <c r="F102" t="s">
        <v>8</v>
      </c>
      <c r="G102" s="1">
        <v>46028</v>
      </c>
    </row>
    <row r="103" spans="1:7" x14ac:dyDescent="0.3">
      <c r="A103">
        <v>102</v>
      </c>
      <c r="B103" t="s">
        <v>19</v>
      </c>
      <c r="C103" t="s">
        <v>14</v>
      </c>
      <c r="D103">
        <v>0</v>
      </c>
      <c r="G103" s="1">
        <v>46028</v>
      </c>
    </row>
    <row r="104" spans="1:7" x14ac:dyDescent="0.3">
      <c r="A104">
        <v>103</v>
      </c>
      <c r="B104" t="s">
        <v>9</v>
      </c>
      <c r="C104" t="s">
        <v>10</v>
      </c>
      <c r="E104">
        <v>8</v>
      </c>
      <c r="F104" t="s">
        <v>11</v>
      </c>
      <c r="G104" s="1">
        <v>46143</v>
      </c>
    </row>
    <row r="105" spans="1:7" x14ac:dyDescent="0.3">
      <c r="A105">
        <v>104</v>
      </c>
      <c r="B105" t="s">
        <v>7</v>
      </c>
      <c r="C105" t="s">
        <v>13</v>
      </c>
      <c r="D105">
        <v>2</v>
      </c>
      <c r="E105">
        <v>4.5</v>
      </c>
      <c r="F105" t="s">
        <v>11</v>
      </c>
    </row>
    <row r="106" spans="1:7" x14ac:dyDescent="0.3">
      <c r="A106">
        <v>105</v>
      </c>
      <c r="B106" t="s">
        <v>21</v>
      </c>
      <c r="C106" t="s">
        <v>14</v>
      </c>
      <c r="D106">
        <v>3</v>
      </c>
      <c r="E106">
        <v>4.5</v>
      </c>
      <c r="G106" s="1">
        <v>46143</v>
      </c>
    </row>
    <row r="107" spans="1:7" x14ac:dyDescent="0.3">
      <c r="A107">
        <v>106</v>
      </c>
      <c r="B107" t="s">
        <v>16</v>
      </c>
      <c r="C107" t="s">
        <v>14</v>
      </c>
      <c r="E107">
        <v>8</v>
      </c>
      <c r="F107" t="s">
        <v>11</v>
      </c>
      <c r="G107" s="1">
        <v>46183</v>
      </c>
    </row>
    <row r="108" spans="1:7" x14ac:dyDescent="0.3">
      <c r="A108">
        <v>107</v>
      </c>
      <c r="B108" t="s">
        <v>19</v>
      </c>
      <c r="C108" t="s">
        <v>17</v>
      </c>
      <c r="D108">
        <v>2</v>
      </c>
      <c r="E108">
        <v>6</v>
      </c>
      <c r="F108" t="s">
        <v>15</v>
      </c>
    </row>
    <row r="109" spans="1:7" x14ac:dyDescent="0.3">
      <c r="A109">
        <v>108</v>
      </c>
      <c r="B109" t="s">
        <v>7</v>
      </c>
      <c r="C109" t="s">
        <v>20</v>
      </c>
      <c r="D109">
        <v>1</v>
      </c>
      <c r="E109">
        <v>6</v>
      </c>
      <c r="F109" t="s">
        <v>15</v>
      </c>
      <c r="G109" s="1">
        <v>46143</v>
      </c>
    </row>
    <row r="110" spans="1:7" x14ac:dyDescent="0.3">
      <c r="A110">
        <v>109</v>
      </c>
      <c r="B110" t="s">
        <v>9</v>
      </c>
      <c r="C110" t="s">
        <v>14</v>
      </c>
      <c r="D110">
        <v>0</v>
      </c>
      <c r="E110">
        <v>4.5</v>
      </c>
      <c r="F110" t="s">
        <v>11</v>
      </c>
      <c r="G110" s="1">
        <v>46143</v>
      </c>
    </row>
    <row r="111" spans="1:7" x14ac:dyDescent="0.3">
      <c r="A111">
        <v>110</v>
      </c>
      <c r="B111" t="s">
        <v>21</v>
      </c>
      <c r="C111" t="s">
        <v>10</v>
      </c>
      <c r="D111">
        <v>3</v>
      </c>
      <c r="E111">
        <v>8</v>
      </c>
      <c r="F111" t="s">
        <v>18</v>
      </c>
      <c r="G111" s="1">
        <v>46028</v>
      </c>
    </row>
    <row r="112" spans="1:7" x14ac:dyDescent="0.3">
      <c r="A112">
        <v>111</v>
      </c>
      <c r="B112" t="s">
        <v>19</v>
      </c>
      <c r="C112" t="s">
        <v>20</v>
      </c>
      <c r="D112">
        <v>3</v>
      </c>
      <c r="F112" t="s">
        <v>8</v>
      </c>
      <c r="G112" s="1">
        <v>46028</v>
      </c>
    </row>
    <row r="113" spans="1:7" x14ac:dyDescent="0.3">
      <c r="A113">
        <v>112</v>
      </c>
      <c r="B113" t="s">
        <v>19</v>
      </c>
      <c r="C113" t="s">
        <v>17</v>
      </c>
      <c r="D113">
        <v>1</v>
      </c>
      <c r="E113">
        <v>8</v>
      </c>
      <c r="F113" t="s">
        <v>15</v>
      </c>
      <c r="G113" s="1">
        <v>46028</v>
      </c>
    </row>
    <row r="114" spans="1:7" x14ac:dyDescent="0.3">
      <c r="A114">
        <v>113</v>
      </c>
      <c r="B114" t="s">
        <v>7</v>
      </c>
      <c r="C114" t="s">
        <v>14</v>
      </c>
      <c r="D114">
        <v>0</v>
      </c>
      <c r="G114" s="1">
        <v>46183</v>
      </c>
    </row>
    <row r="115" spans="1:7" x14ac:dyDescent="0.3">
      <c r="A115">
        <v>114</v>
      </c>
      <c r="B115" t="s">
        <v>12</v>
      </c>
      <c r="C115" t="s">
        <v>20</v>
      </c>
      <c r="E115">
        <v>6</v>
      </c>
      <c r="F115" t="s">
        <v>18</v>
      </c>
      <c r="G115" s="1">
        <v>46028</v>
      </c>
    </row>
    <row r="116" spans="1:7" x14ac:dyDescent="0.3">
      <c r="A116">
        <v>115</v>
      </c>
      <c r="B116" t="s">
        <v>16</v>
      </c>
      <c r="D116">
        <v>0</v>
      </c>
      <c r="F116" t="s">
        <v>18</v>
      </c>
    </row>
    <row r="117" spans="1:7" x14ac:dyDescent="0.3">
      <c r="A117">
        <v>116</v>
      </c>
      <c r="B117" t="s">
        <v>9</v>
      </c>
      <c r="C117" t="s">
        <v>17</v>
      </c>
      <c r="D117">
        <v>0</v>
      </c>
      <c r="F117" t="s">
        <v>11</v>
      </c>
    </row>
    <row r="118" spans="1:7" x14ac:dyDescent="0.3">
      <c r="A118">
        <v>117</v>
      </c>
      <c r="B118" t="s">
        <v>16</v>
      </c>
      <c r="C118" t="s">
        <v>10</v>
      </c>
      <c r="D118">
        <v>3</v>
      </c>
      <c r="F118" t="s">
        <v>11</v>
      </c>
      <c r="G118" s="1">
        <v>46183</v>
      </c>
    </row>
    <row r="119" spans="1:7" x14ac:dyDescent="0.3">
      <c r="A119">
        <v>118</v>
      </c>
      <c r="B119" t="s">
        <v>7</v>
      </c>
      <c r="C119" t="s">
        <v>17</v>
      </c>
      <c r="D119">
        <v>1</v>
      </c>
      <c r="E119">
        <v>4.5</v>
      </c>
      <c r="F119" t="s">
        <v>11</v>
      </c>
      <c r="G119" s="1">
        <v>46028</v>
      </c>
    </row>
    <row r="120" spans="1:7" x14ac:dyDescent="0.3">
      <c r="A120">
        <v>119</v>
      </c>
      <c r="B120" t="s">
        <v>12</v>
      </c>
      <c r="C120" t="s">
        <v>10</v>
      </c>
      <c r="D120">
        <v>2</v>
      </c>
      <c r="E120">
        <v>4.5</v>
      </c>
      <c r="F120" t="s">
        <v>18</v>
      </c>
    </row>
    <row r="121" spans="1:7" x14ac:dyDescent="0.3">
      <c r="A121">
        <v>120</v>
      </c>
      <c r="B121" t="s">
        <v>12</v>
      </c>
      <c r="D121">
        <v>1</v>
      </c>
      <c r="E121">
        <v>4.5</v>
      </c>
      <c r="F121" t="s">
        <v>15</v>
      </c>
      <c r="G121" s="1">
        <v>46143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workbookViewId="0">
      <selection activeCell="G21" sqref="G21"/>
    </sheetView>
  </sheetViews>
  <sheetFormatPr defaultRowHeight="14.4" x14ac:dyDescent="0.3"/>
  <cols>
    <col min="1" max="1" width="9.88671875" customWidth="1"/>
    <col min="2" max="2" width="12.6640625" customWidth="1"/>
    <col min="3" max="3" width="16" customWidth="1"/>
    <col min="4" max="4" width="12.6640625" customWidth="1"/>
    <col min="5" max="5" width="12.77734375" customWidth="1"/>
    <col min="6" max="6" width="13.6640625" customWidth="1"/>
    <col min="7" max="7" width="14.5546875" customWidth="1"/>
    <col min="8" max="8" width="17.6640625" customWidth="1"/>
    <col min="9" max="9" width="15" customWidth="1"/>
    <col min="10" max="10" width="15.6640625" customWidth="1"/>
  </cols>
  <sheetData>
    <row r="1" spans="1:12" x14ac:dyDescent="0.3">
      <c r="A1" t="s">
        <v>0</v>
      </c>
      <c r="B1" t="s">
        <v>1</v>
      </c>
      <c r="C1" t="s">
        <v>25</v>
      </c>
      <c r="D1" t="s">
        <v>25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22</v>
      </c>
    </row>
    <row r="2" spans="1:12" x14ac:dyDescent="0.3">
      <c r="A2">
        <v>1</v>
      </c>
      <c r="B2" t="s">
        <v>7</v>
      </c>
      <c r="C2" t="str">
        <f>TRIM(B2)</f>
        <v>Insight Corp</v>
      </c>
      <c r="D2" t="str">
        <f>UPPER(C2)</f>
        <v>INSIGHT CORP</v>
      </c>
      <c r="E2" t="s">
        <v>23</v>
      </c>
      <c r="F2">
        <v>3</v>
      </c>
      <c r="G2">
        <v>8</v>
      </c>
      <c r="H2" t="s">
        <v>8</v>
      </c>
      <c r="I2" s="3"/>
      <c r="J2">
        <f t="shared" ref="J2:J33" si="0">COUNTIF($A$2:$A$121,A2)</f>
        <v>1</v>
      </c>
    </row>
    <row r="3" spans="1:12" x14ac:dyDescent="0.3">
      <c r="A3">
        <v>2</v>
      </c>
      <c r="B3" t="s">
        <v>9</v>
      </c>
      <c r="C3" t="str">
        <f t="shared" ref="C3:C66" si="1">TRIM(B3)</f>
        <v>DataSphere</v>
      </c>
      <c r="D3" t="str">
        <f t="shared" ref="D3:D66" si="2">UPPER(C3)</f>
        <v>DATASPHERE</v>
      </c>
      <c r="E3" t="s">
        <v>10</v>
      </c>
      <c r="F3">
        <v>2</v>
      </c>
      <c r="G3">
        <v>6</v>
      </c>
      <c r="H3" t="s">
        <v>11</v>
      </c>
      <c r="I3" s="3">
        <v>46143</v>
      </c>
      <c r="J3">
        <f t="shared" si="0"/>
        <v>1</v>
      </c>
      <c r="K3" s="1"/>
      <c r="L3">
        <f>MEDIAN(F2:F120)</f>
        <v>1</v>
      </c>
    </row>
    <row r="4" spans="1:12" x14ac:dyDescent="0.3">
      <c r="A4">
        <v>3</v>
      </c>
      <c r="B4" t="s">
        <v>12</v>
      </c>
      <c r="C4" t="str">
        <f t="shared" si="1"/>
        <v>TechNova</v>
      </c>
      <c r="D4" t="str">
        <f t="shared" si="2"/>
        <v>TECHNOVA</v>
      </c>
      <c r="E4" t="s">
        <v>13</v>
      </c>
      <c r="F4">
        <v>1</v>
      </c>
      <c r="G4">
        <v>8</v>
      </c>
      <c r="H4" t="s">
        <v>24</v>
      </c>
      <c r="I4" s="3">
        <v>46143</v>
      </c>
      <c r="J4">
        <f t="shared" si="0"/>
        <v>1</v>
      </c>
      <c r="K4" s="1"/>
      <c r="L4">
        <f>MEDIAN(G2:G120)</f>
        <v>8</v>
      </c>
    </row>
    <row r="5" spans="1:12" x14ac:dyDescent="0.3">
      <c r="A5">
        <v>4</v>
      </c>
      <c r="B5" t="s">
        <v>12</v>
      </c>
      <c r="C5" t="str">
        <f t="shared" si="1"/>
        <v>TechNova</v>
      </c>
      <c r="D5" t="str">
        <f t="shared" si="2"/>
        <v>TECHNOVA</v>
      </c>
      <c r="E5" t="s">
        <v>14</v>
      </c>
      <c r="F5">
        <v>0</v>
      </c>
      <c r="G5">
        <v>8</v>
      </c>
      <c r="H5" t="s">
        <v>11</v>
      </c>
      <c r="I5" s="3">
        <v>46143</v>
      </c>
      <c r="J5">
        <f t="shared" si="0"/>
        <v>1</v>
      </c>
      <c r="K5" s="1"/>
    </row>
    <row r="6" spans="1:12" x14ac:dyDescent="0.3">
      <c r="A6">
        <v>5</v>
      </c>
      <c r="B6" t="s">
        <v>12</v>
      </c>
      <c r="C6" t="str">
        <f t="shared" si="1"/>
        <v>TechNova</v>
      </c>
      <c r="D6" t="str">
        <f t="shared" si="2"/>
        <v>TECHNOVA</v>
      </c>
      <c r="E6" t="s">
        <v>14</v>
      </c>
      <c r="F6">
        <v>3</v>
      </c>
      <c r="G6">
        <v>8</v>
      </c>
      <c r="H6" t="s">
        <v>15</v>
      </c>
      <c r="I6" s="3">
        <v>46183</v>
      </c>
      <c r="J6">
        <f t="shared" si="0"/>
        <v>1</v>
      </c>
      <c r="K6" s="1"/>
      <c r="L6" t="b">
        <f>ISNUMBER(I21)</f>
        <v>1</v>
      </c>
    </row>
    <row r="7" spans="1:12" x14ac:dyDescent="0.3">
      <c r="A7">
        <v>6</v>
      </c>
      <c r="B7" t="s">
        <v>16</v>
      </c>
      <c r="C7" t="str">
        <f t="shared" si="1"/>
        <v>TechNova</v>
      </c>
      <c r="D7" t="str">
        <f t="shared" si="2"/>
        <v>TECHNOVA</v>
      </c>
      <c r="E7" t="s">
        <v>13</v>
      </c>
      <c r="F7">
        <v>1</v>
      </c>
      <c r="G7">
        <v>8</v>
      </c>
      <c r="H7" t="s">
        <v>24</v>
      </c>
      <c r="I7" s="3">
        <v>46028</v>
      </c>
      <c r="J7">
        <f t="shared" si="0"/>
        <v>1</v>
      </c>
      <c r="K7" s="1"/>
    </row>
    <row r="8" spans="1:12" x14ac:dyDescent="0.3">
      <c r="A8">
        <v>7</v>
      </c>
      <c r="B8" t="s">
        <v>12</v>
      </c>
      <c r="C8" t="str">
        <f t="shared" si="1"/>
        <v>TechNova</v>
      </c>
      <c r="D8" t="str">
        <f t="shared" si="2"/>
        <v>TECHNOVA</v>
      </c>
      <c r="E8" t="s">
        <v>17</v>
      </c>
      <c r="F8">
        <v>0</v>
      </c>
      <c r="G8">
        <v>6</v>
      </c>
      <c r="H8" t="s">
        <v>18</v>
      </c>
      <c r="I8" s="3">
        <v>46183</v>
      </c>
      <c r="J8">
        <f t="shared" si="0"/>
        <v>1</v>
      </c>
      <c r="K8" s="1"/>
    </row>
    <row r="9" spans="1:12" x14ac:dyDescent="0.3">
      <c r="A9">
        <v>8</v>
      </c>
      <c r="B9" t="s">
        <v>7</v>
      </c>
      <c r="C9" t="str">
        <f t="shared" si="1"/>
        <v>Insight Corp</v>
      </c>
      <c r="D9" t="str">
        <f t="shared" si="2"/>
        <v>INSIGHT CORP</v>
      </c>
      <c r="E9" t="s">
        <v>17</v>
      </c>
      <c r="F9">
        <v>3</v>
      </c>
      <c r="G9">
        <v>6</v>
      </c>
      <c r="H9" t="s">
        <v>15</v>
      </c>
      <c r="I9" s="3"/>
      <c r="J9">
        <f t="shared" si="0"/>
        <v>1</v>
      </c>
    </row>
    <row r="10" spans="1:12" x14ac:dyDescent="0.3">
      <c r="A10">
        <v>9</v>
      </c>
      <c r="B10" t="s">
        <v>19</v>
      </c>
      <c r="C10" t="str">
        <f t="shared" si="1"/>
        <v>datasphere</v>
      </c>
      <c r="D10" t="str">
        <f t="shared" si="2"/>
        <v>DATASPHERE</v>
      </c>
      <c r="E10" t="s">
        <v>20</v>
      </c>
      <c r="F10">
        <v>1</v>
      </c>
      <c r="G10">
        <v>6</v>
      </c>
      <c r="H10" t="s">
        <v>15</v>
      </c>
      <c r="I10" s="3">
        <v>46183</v>
      </c>
      <c r="J10">
        <f t="shared" si="0"/>
        <v>1</v>
      </c>
      <c r="K10" s="1"/>
    </row>
    <row r="11" spans="1:12" x14ac:dyDescent="0.3">
      <c r="A11">
        <v>10</v>
      </c>
      <c r="B11" t="s">
        <v>19</v>
      </c>
      <c r="C11" t="str">
        <f t="shared" si="1"/>
        <v>datasphere</v>
      </c>
      <c r="D11" t="str">
        <f t="shared" si="2"/>
        <v>DATASPHERE</v>
      </c>
      <c r="E11" t="s">
        <v>17</v>
      </c>
      <c r="F11">
        <v>0</v>
      </c>
      <c r="G11">
        <v>8</v>
      </c>
      <c r="H11" t="s">
        <v>15</v>
      </c>
      <c r="I11" s="3"/>
      <c r="J11">
        <f t="shared" si="0"/>
        <v>1</v>
      </c>
    </row>
    <row r="12" spans="1:12" x14ac:dyDescent="0.3">
      <c r="A12">
        <v>11</v>
      </c>
      <c r="B12" t="s">
        <v>19</v>
      </c>
      <c r="C12" t="str">
        <f t="shared" si="1"/>
        <v>datasphere</v>
      </c>
      <c r="D12" t="str">
        <f t="shared" si="2"/>
        <v>DATASPHERE</v>
      </c>
      <c r="E12" t="s">
        <v>13</v>
      </c>
      <c r="F12">
        <v>2</v>
      </c>
      <c r="G12">
        <v>4.5</v>
      </c>
      <c r="H12" t="s">
        <v>18</v>
      </c>
      <c r="I12" s="3">
        <v>46028</v>
      </c>
      <c r="J12">
        <f t="shared" si="0"/>
        <v>1</v>
      </c>
      <c r="K12" s="1"/>
    </row>
    <row r="13" spans="1:12" x14ac:dyDescent="0.3">
      <c r="A13">
        <v>12</v>
      </c>
      <c r="B13" t="s">
        <v>16</v>
      </c>
      <c r="C13" t="str">
        <f t="shared" si="1"/>
        <v>TechNova</v>
      </c>
      <c r="D13" t="str">
        <f t="shared" si="2"/>
        <v>TECHNOVA</v>
      </c>
      <c r="E13" t="s">
        <v>10</v>
      </c>
      <c r="F13">
        <v>1</v>
      </c>
      <c r="G13">
        <v>6</v>
      </c>
      <c r="H13" t="s">
        <v>11</v>
      </c>
      <c r="I13" s="3">
        <v>46028</v>
      </c>
      <c r="J13">
        <f t="shared" si="0"/>
        <v>1</v>
      </c>
      <c r="K13" s="1"/>
    </row>
    <row r="14" spans="1:12" x14ac:dyDescent="0.3">
      <c r="A14">
        <v>13</v>
      </c>
      <c r="B14" t="s">
        <v>9</v>
      </c>
      <c r="C14" t="str">
        <f t="shared" si="1"/>
        <v>DataSphere</v>
      </c>
      <c r="D14" t="str">
        <f t="shared" si="2"/>
        <v>DATASPHERE</v>
      </c>
      <c r="E14" t="s">
        <v>13</v>
      </c>
      <c r="F14">
        <v>1</v>
      </c>
      <c r="G14">
        <v>6</v>
      </c>
      <c r="H14" t="s">
        <v>15</v>
      </c>
      <c r="I14" s="3">
        <v>46183</v>
      </c>
      <c r="J14">
        <f t="shared" si="0"/>
        <v>1</v>
      </c>
      <c r="K14" s="1"/>
    </row>
    <row r="15" spans="1:12" x14ac:dyDescent="0.3">
      <c r="A15">
        <v>14</v>
      </c>
      <c r="B15" t="s">
        <v>19</v>
      </c>
      <c r="C15" t="str">
        <f t="shared" si="1"/>
        <v>datasphere</v>
      </c>
      <c r="D15" t="str">
        <f t="shared" si="2"/>
        <v>DATASPHERE</v>
      </c>
      <c r="E15" t="s">
        <v>20</v>
      </c>
      <c r="F15">
        <v>1</v>
      </c>
      <c r="G15">
        <v>6</v>
      </c>
      <c r="H15" t="s">
        <v>11</v>
      </c>
      <c r="I15" s="3"/>
      <c r="J15">
        <f t="shared" si="0"/>
        <v>1</v>
      </c>
    </row>
    <row r="16" spans="1:12" x14ac:dyDescent="0.3">
      <c r="A16">
        <v>15</v>
      </c>
      <c r="B16" t="s">
        <v>9</v>
      </c>
      <c r="C16" t="str">
        <f t="shared" si="1"/>
        <v>DataSphere</v>
      </c>
      <c r="D16" t="str">
        <f t="shared" si="2"/>
        <v>DATASPHERE</v>
      </c>
      <c r="E16" t="s">
        <v>17</v>
      </c>
      <c r="F16">
        <v>0</v>
      </c>
      <c r="G16">
        <v>10</v>
      </c>
      <c r="H16" t="s">
        <v>15</v>
      </c>
      <c r="I16" s="3">
        <v>46143</v>
      </c>
      <c r="J16">
        <f t="shared" si="0"/>
        <v>1</v>
      </c>
      <c r="K16" s="1"/>
    </row>
    <row r="17" spans="1:11" x14ac:dyDescent="0.3">
      <c r="A17">
        <v>16</v>
      </c>
      <c r="B17" t="s">
        <v>12</v>
      </c>
      <c r="C17" t="str">
        <f t="shared" si="1"/>
        <v>TechNova</v>
      </c>
      <c r="D17" t="str">
        <f t="shared" si="2"/>
        <v>TECHNOVA</v>
      </c>
      <c r="E17" t="s">
        <v>13</v>
      </c>
      <c r="F17">
        <v>1</v>
      </c>
      <c r="G17">
        <v>10</v>
      </c>
      <c r="H17" t="s">
        <v>11</v>
      </c>
      <c r="I17" s="3">
        <v>46183</v>
      </c>
      <c r="J17">
        <f t="shared" si="0"/>
        <v>1</v>
      </c>
      <c r="K17" s="1"/>
    </row>
    <row r="18" spans="1:11" x14ac:dyDescent="0.3">
      <c r="A18">
        <v>17</v>
      </c>
      <c r="B18" t="s">
        <v>16</v>
      </c>
      <c r="C18" t="str">
        <f t="shared" si="1"/>
        <v>TechNova</v>
      </c>
      <c r="D18" t="str">
        <f t="shared" si="2"/>
        <v>TECHNOVA</v>
      </c>
      <c r="E18" t="s">
        <v>23</v>
      </c>
      <c r="F18">
        <v>0</v>
      </c>
      <c r="G18">
        <v>8</v>
      </c>
      <c r="H18" t="s">
        <v>8</v>
      </c>
      <c r="I18" s="3">
        <v>46143</v>
      </c>
      <c r="J18">
        <f t="shared" si="0"/>
        <v>1</v>
      </c>
      <c r="K18" s="1"/>
    </row>
    <row r="19" spans="1:11" x14ac:dyDescent="0.3">
      <c r="A19">
        <v>18</v>
      </c>
      <c r="B19" t="s">
        <v>16</v>
      </c>
      <c r="C19" t="str">
        <f t="shared" si="1"/>
        <v>TechNova</v>
      </c>
      <c r="D19" t="str">
        <f t="shared" si="2"/>
        <v>TECHNOVA</v>
      </c>
      <c r="E19" t="s">
        <v>23</v>
      </c>
      <c r="F19">
        <v>3</v>
      </c>
      <c r="G19">
        <v>6</v>
      </c>
      <c r="H19" t="s">
        <v>8</v>
      </c>
      <c r="I19" s="3">
        <v>46143</v>
      </c>
      <c r="J19">
        <f t="shared" si="0"/>
        <v>1</v>
      </c>
      <c r="K19" s="1"/>
    </row>
    <row r="20" spans="1:11" x14ac:dyDescent="0.3">
      <c r="A20">
        <v>19</v>
      </c>
      <c r="B20" t="s">
        <v>16</v>
      </c>
      <c r="C20" t="str">
        <f t="shared" si="1"/>
        <v>TechNova</v>
      </c>
      <c r="D20" t="str">
        <f t="shared" si="2"/>
        <v>TECHNOVA</v>
      </c>
      <c r="E20" t="s">
        <v>17</v>
      </c>
      <c r="F20">
        <v>1</v>
      </c>
      <c r="G20">
        <v>8</v>
      </c>
      <c r="H20" t="s">
        <v>18</v>
      </c>
      <c r="I20" s="3">
        <v>46028</v>
      </c>
      <c r="J20">
        <f t="shared" si="0"/>
        <v>1</v>
      </c>
      <c r="K20" s="1"/>
    </row>
    <row r="21" spans="1:11" x14ac:dyDescent="0.3">
      <c r="A21">
        <v>20</v>
      </c>
      <c r="B21" t="s">
        <v>12</v>
      </c>
      <c r="C21" t="str">
        <f t="shared" si="1"/>
        <v>TechNova</v>
      </c>
      <c r="D21" t="str">
        <f t="shared" si="2"/>
        <v>TECHNOVA</v>
      </c>
      <c r="E21" t="s">
        <v>10</v>
      </c>
      <c r="F21">
        <v>1</v>
      </c>
      <c r="G21">
        <v>8</v>
      </c>
      <c r="H21" t="s">
        <v>18</v>
      </c>
      <c r="I21" s="3">
        <v>46183</v>
      </c>
      <c r="J21">
        <f t="shared" si="0"/>
        <v>1</v>
      </c>
      <c r="K21" s="1"/>
    </row>
    <row r="22" spans="1:11" x14ac:dyDescent="0.3">
      <c r="A22">
        <v>21</v>
      </c>
      <c r="B22" t="s">
        <v>7</v>
      </c>
      <c r="C22" t="str">
        <f t="shared" si="1"/>
        <v>Insight Corp</v>
      </c>
      <c r="D22" t="str">
        <f t="shared" si="2"/>
        <v>INSIGHT CORP</v>
      </c>
      <c r="E22" t="s">
        <v>14</v>
      </c>
      <c r="F22">
        <v>3</v>
      </c>
      <c r="G22">
        <v>10</v>
      </c>
      <c r="H22" t="s">
        <v>8</v>
      </c>
      <c r="I22" s="3"/>
      <c r="J22">
        <f t="shared" si="0"/>
        <v>1</v>
      </c>
    </row>
    <row r="23" spans="1:11" x14ac:dyDescent="0.3">
      <c r="A23">
        <v>22</v>
      </c>
      <c r="B23" t="s">
        <v>12</v>
      </c>
      <c r="C23" t="str">
        <f t="shared" si="1"/>
        <v>TechNova</v>
      </c>
      <c r="D23" t="str">
        <f t="shared" si="2"/>
        <v>TECHNOVA</v>
      </c>
      <c r="E23" t="s">
        <v>13</v>
      </c>
      <c r="F23">
        <v>2</v>
      </c>
      <c r="G23">
        <v>6</v>
      </c>
      <c r="H23" t="s">
        <v>24</v>
      </c>
      <c r="I23" s="3"/>
      <c r="J23">
        <f t="shared" si="0"/>
        <v>1</v>
      </c>
    </row>
    <row r="24" spans="1:11" x14ac:dyDescent="0.3">
      <c r="A24">
        <v>23</v>
      </c>
      <c r="B24" t="s">
        <v>19</v>
      </c>
      <c r="C24" t="str">
        <f t="shared" si="1"/>
        <v>datasphere</v>
      </c>
      <c r="D24" t="str">
        <f t="shared" si="2"/>
        <v>DATASPHERE</v>
      </c>
      <c r="E24" t="s">
        <v>10</v>
      </c>
      <c r="F24">
        <v>0</v>
      </c>
      <c r="G24">
        <v>8</v>
      </c>
      <c r="H24" t="s">
        <v>18</v>
      </c>
      <c r="I24" s="3">
        <v>46028</v>
      </c>
      <c r="J24">
        <f t="shared" si="0"/>
        <v>1</v>
      </c>
      <c r="K24" s="1"/>
    </row>
    <row r="25" spans="1:11" x14ac:dyDescent="0.3">
      <c r="A25">
        <v>24</v>
      </c>
      <c r="B25" t="s">
        <v>16</v>
      </c>
      <c r="C25" t="str">
        <f t="shared" si="1"/>
        <v>TechNova</v>
      </c>
      <c r="D25" t="str">
        <f t="shared" si="2"/>
        <v>TECHNOVA</v>
      </c>
      <c r="E25" t="s">
        <v>13</v>
      </c>
      <c r="F25">
        <v>2</v>
      </c>
      <c r="G25">
        <v>6</v>
      </c>
      <c r="H25" t="s">
        <v>11</v>
      </c>
      <c r="I25" s="3"/>
      <c r="J25">
        <f t="shared" si="0"/>
        <v>1</v>
      </c>
    </row>
    <row r="26" spans="1:11" x14ac:dyDescent="0.3">
      <c r="A26">
        <v>25</v>
      </c>
      <c r="B26" t="s">
        <v>12</v>
      </c>
      <c r="C26" t="str">
        <f t="shared" si="1"/>
        <v>TechNova</v>
      </c>
      <c r="D26" t="str">
        <f t="shared" si="2"/>
        <v>TECHNOVA</v>
      </c>
      <c r="E26" t="s">
        <v>20</v>
      </c>
      <c r="F26">
        <v>3</v>
      </c>
      <c r="G26">
        <v>10</v>
      </c>
      <c r="H26" t="s">
        <v>15</v>
      </c>
      <c r="I26" s="3">
        <v>46028</v>
      </c>
      <c r="J26">
        <f t="shared" si="0"/>
        <v>1</v>
      </c>
      <c r="K26" s="1"/>
    </row>
    <row r="27" spans="1:11" x14ac:dyDescent="0.3">
      <c r="A27">
        <v>26</v>
      </c>
      <c r="B27" t="s">
        <v>12</v>
      </c>
      <c r="C27" t="str">
        <f t="shared" si="1"/>
        <v>TechNova</v>
      </c>
      <c r="D27" t="str">
        <f t="shared" si="2"/>
        <v>TECHNOVA</v>
      </c>
      <c r="E27" t="s">
        <v>10</v>
      </c>
      <c r="F27">
        <v>1</v>
      </c>
      <c r="G27">
        <v>4.5</v>
      </c>
      <c r="H27" t="s">
        <v>18</v>
      </c>
      <c r="I27" s="3">
        <v>46183</v>
      </c>
      <c r="J27">
        <f t="shared" si="0"/>
        <v>1</v>
      </c>
      <c r="K27" s="1"/>
    </row>
    <row r="28" spans="1:11" x14ac:dyDescent="0.3">
      <c r="A28">
        <v>27</v>
      </c>
      <c r="B28" t="s">
        <v>21</v>
      </c>
      <c r="C28" t="str">
        <f t="shared" si="1"/>
        <v>AIWorks</v>
      </c>
      <c r="D28" t="str">
        <f t="shared" si="2"/>
        <v>AIWORKS</v>
      </c>
      <c r="E28" t="s">
        <v>13</v>
      </c>
      <c r="F28">
        <v>3</v>
      </c>
      <c r="G28">
        <v>10</v>
      </c>
      <c r="H28" t="s">
        <v>11</v>
      </c>
      <c r="I28" s="3">
        <v>46183</v>
      </c>
      <c r="J28">
        <f t="shared" si="0"/>
        <v>1</v>
      </c>
      <c r="K28" s="1"/>
    </row>
    <row r="29" spans="1:11" x14ac:dyDescent="0.3">
      <c r="A29">
        <v>28</v>
      </c>
      <c r="B29" t="s">
        <v>21</v>
      </c>
      <c r="C29" t="str">
        <f t="shared" si="1"/>
        <v>AIWorks</v>
      </c>
      <c r="D29" t="str">
        <f t="shared" si="2"/>
        <v>AIWORKS</v>
      </c>
      <c r="E29" t="s">
        <v>17</v>
      </c>
      <c r="F29">
        <v>0</v>
      </c>
      <c r="G29">
        <v>8</v>
      </c>
      <c r="H29" t="s">
        <v>18</v>
      </c>
      <c r="I29" s="3">
        <v>46183</v>
      </c>
      <c r="J29">
        <f t="shared" si="0"/>
        <v>1</v>
      </c>
      <c r="K29" s="1"/>
    </row>
    <row r="30" spans="1:11" x14ac:dyDescent="0.3">
      <c r="A30">
        <v>29</v>
      </c>
      <c r="B30" t="s">
        <v>16</v>
      </c>
      <c r="C30" t="str">
        <f t="shared" si="1"/>
        <v>TechNova</v>
      </c>
      <c r="D30" t="str">
        <f t="shared" si="2"/>
        <v>TECHNOVA</v>
      </c>
      <c r="E30" t="s">
        <v>20</v>
      </c>
      <c r="F30">
        <v>0</v>
      </c>
      <c r="G30">
        <v>10</v>
      </c>
      <c r="H30" t="s">
        <v>11</v>
      </c>
      <c r="I30" s="3">
        <v>46183</v>
      </c>
      <c r="J30">
        <f t="shared" si="0"/>
        <v>1</v>
      </c>
      <c r="K30" s="1"/>
    </row>
    <row r="31" spans="1:11" x14ac:dyDescent="0.3">
      <c r="A31">
        <v>30</v>
      </c>
      <c r="B31" t="s">
        <v>12</v>
      </c>
      <c r="C31" t="str">
        <f t="shared" si="1"/>
        <v>TechNova</v>
      </c>
      <c r="D31" t="str">
        <f t="shared" si="2"/>
        <v>TECHNOVA</v>
      </c>
      <c r="E31" t="s">
        <v>20</v>
      </c>
      <c r="F31">
        <v>1</v>
      </c>
      <c r="G31">
        <v>8</v>
      </c>
      <c r="H31" t="s">
        <v>18</v>
      </c>
      <c r="I31" s="3">
        <v>46183</v>
      </c>
      <c r="J31">
        <f t="shared" si="0"/>
        <v>1</v>
      </c>
      <c r="K31" s="1"/>
    </row>
    <row r="32" spans="1:11" x14ac:dyDescent="0.3">
      <c r="A32">
        <v>31</v>
      </c>
      <c r="B32" t="s">
        <v>7</v>
      </c>
      <c r="C32" t="str">
        <f t="shared" si="1"/>
        <v>Insight Corp</v>
      </c>
      <c r="D32" t="str">
        <f t="shared" si="2"/>
        <v>INSIGHT CORP</v>
      </c>
      <c r="E32" t="s">
        <v>13</v>
      </c>
      <c r="F32">
        <v>0</v>
      </c>
      <c r="G32">
        <v>8</v>
      </c>
      <c r="H32" t="s">
        <v>11</v>
      </c>
      <c r="I32" s="3"/>
      <c r="J32">
        <f t="shared" si="0"/>
        <v>1</v>
      </c>
    </row>
    <row r="33" spans="1:11" x14ac:dyDescent="0.3">
      <c r="A33">
        <v>32</v>
      </c>
      <c r="B33" t="s">
        <v>21</v>
      </c>
      <c r="C33" t="str">
        <f t="shared" si="1"/>
        <v>AIWorks</v>
      </c>
      <c r="D33" t="str">
        <f t="shared" si="2"/>
        <v>AIWORKS</v>
      </c>
      <c r="E33" t="s">
        <v>14</v>
      </c>
      <c r="F33">
        <v>1</v>
      </c>
      <c r="G33">
        <v>6</v>
      </c>
      <c r="H33" t="s">
        <v>15</v>
      </c>
      <c r="I33" s="3">
        <v>46143</v>
      </c>
      <c r="J33">
        <f t="shared" si="0"/>
        <v>1</v>
      </c>
      <c r="K33" s="1"/>
    </row>
    <row r="34" spans="1:11" x14ac:dyDescent="0.3">
      <c r="A34">
        <v>33</v>
      </c>
      <c r="B34" t="s">
        <v>9</v>
      </c>
      <c r="C34" t="str">
        <f t="shared" si="1"/>
        <v>DataSphere</v>
      </c>
      <c r="D34" t="str">
        <f t="shared" si="2"/>
        <v>DATASPHERE</v>
      </c>
      <c r="E34" t="s">
        <v>20</v>
      </c>
      <c r="F34">
        <v>2</v>
      </c>
      <c r="G34">
        <v>8</v>
      </c>
      <c r="H34" t="s">
        <v>24</v>
      </c>
      <c r="I34" s="3"/>
      <c r="J34">
        <f t="shared" ref="J34:J65" si="3">COUNTIF($A$2:$A$121,A34)</f>
        <v>1</v>
      </c>
    </row>
    <row r="35" spans="1:11" x14ac:dyDescent="0.3">
      <c r="A35">
        <v>34</v>
      </c>
      <c r="B35" t="s">
        <v>12</v>
      </c>
      <c r="C35" t="str">
        <f t="shared" si="1"/>
        <v>TechNova</v>
      </c>
      <c r="D35" t="str">
        <f t="shared" si="2"/>
        <v>TECHNOVA</v>
      </c>
      <c r="E35" t="s">
        <v>23</v>
      </c>
      <c r="F35">
        <v>1</v>
      </c>
      <c r="G35">
        <v>8</v>
      </c>
      <c r="H35" t="s">
        <v>8</v>
      </c>
      <c r="I35" s="3">
        <v>46183</v>
      </c>
      <c r="J35">
        <f t="shared" si="3"/>
        <v>1</v>
      </c>
      <c r="K35" s="1"/>
    </row>
    <row r="36" spans="1:11" x14ac:dyDescent="0.3">
      <c r="A36">
        <v>35</v>
      </c>
      <c r="B36" t="s">
        <v>19</v>
      </c>
      <c r="C36" t="str">
        <f t="shared" si="1"/>
        <v>datasphere</v>
      </c>
      <c r="D36" t="str">
        <f t="shared" si="2"/>
        <v>DATASPHERE</v>
      </c>
      <c r="E36" t="s">
        <v>13</v>
      </c>
      <c r="F36">
        <v>2</v>
      </c>
      <c r="G36">
        <v>8</v>
      </c>
      <c r="H36" t="s">
        <v>18</v>
      </c>
      <c r="I36" s="3">
        <v>46028</v>
      </c>
      <c r="J36">
        <f t="shared" si="3"/>
        <v>1</v>
      </c>
      <c r="K36" s="1"/>
    </row>
    <row r="37" spans="1:11" x14ac:dyDescent="0.3">
      <c r="A37">
        <v>36</v>
      </c>
      <c r="B37" t="s">
        <v>16</v>
      </c>
      <c r="C37" t="str">
        <f t="shared" si="1"/>
        <v>TechNova</v>
      </c>
      <c r="D37" t="str">
        <f t="shared" si="2"/>
        <v>TECHNOVA</v>
      </c>
      <c r="E37" t="s">
        <v>23</v>
      </c>
      <c r="F37">
        <v>2</v>
      </c>
      <c r="G37">
        <v>8</v>
      </c>
      <c r="H37" t="s">
        <v>8</v>
      </c>
      <c r="I37" s="3"/>
      <c r="J37">
        <f t="shared" si="3"/>
        <v>1</v>
      </c>
    </row>
    <row r="38" spans="1:11" x14ac:dyDescent="0.3">
      <c r="A38">
        <v>37</v>
      </c>
      <c r="B38" t="s">
        <v>9</v>
      </c>
      <c r="C38" t="str">
        <f t="shared" si="1"/>
        <v>DataSphere</v>
      </c>
      <c r="D38" t="str">
        <f t="shared" si="2"/>
        <v>DATASPHERE</v>
      </c>
      <c r="E38" t="s">
        <v>13</v>
      </c>
      <c r="F38">
        <v>3</v>
      </c>
      <c r="G38">
        <v>8</v>
      </c>
      <c r="H38" t="s">
        <v>24</v>
      </c>
      <c r="I38" s="3">
        <v>46028</v>
      </c>
      <c r="J38">
        <f t="shared" si="3"/>
        <v>1</v>
      </c>
      <c r="K38" s="1"/>
    </row>
    <row r="39" spans="1:11" x14ac:dyDescent="0.3">
      <c r="A39">
        <v>38</v>
      </c>
      <c r="B39" t="s">
        <v>7</v>
      </c>
      <c r="C39" t="str">
        <f t="shared" si="1"/>
        <v>Insight Corp</v>
      </c>
      <c r="D39" t="str">
        <f t="shared" si="2"/>
        <v>INSIGHT CORP</v>
      </c>
      <c r="E39" t="s">
        <v>17</v>
      </c>
      <c r="F39">
        <v>2</v>
      </c>
      <c r="G39">
        <v>8</v>
      </c>
      <c r="H39" t="s">
        <v>18</v>
      </c>
      <c r="I39" s="3">
        <v>46143</v>
      </c>
      <c r="J39">
        <f t="shared" si="3"/>
        <v>1</v>
      </c>
      <c r="K39" s="1"/>
    </row>
    <row r="40" spans="1:11" x14ac:dyDescent="0.3">
      <c r="A40">
        <v>39</v>
      </c>
      <c r="B40" t="s">
        <v>16</v>
      </c>
      <c r="C40" t="str">
        <f t="shared" si="1"/>
        <v>TechNova</v>
      </c>
      <c r="D40" t="str">
        <f t="shared" si="2"/>
        <v>TECHNOVA</v>
      </c>
      <c r="E40" t="s">
        <v>17</v>
      </c>
      <c r="F40">
        <v>2</v>
      </c>
      <c r="G40">
        <v>4.5</v>
      </c>
      <c r="H40" t="s">
        <v>8</v>
      </c>
      <c r="I40" s="3"/>
      <c r="J40">
        <f t="shared" si="3"/>
        <v>1</v>
      </c>
    </row>
    <row r="41" spans="1:11" x14ac:dyDescent="0.3">
      <c r="A41">
        <v>40</v>
      </c>
      <c r="B41" t="s">
        <v>7</v>
      </c>
      <c r="C41" t="str">
        <f t="shared" si="1"/>
        <v>Insight Corp</v>
      </c>
      <c r="D41" t="str">
        <f t="shared" si="2"/>
        <v>INSIGHT CORP</v>
      </c>
      <c r="E41" t="s">
        <v>10</v>
      </c>
      <c r="F41">
        <v>1</v>
      </c>
      <c r="G41">
        <v>8</v>
      </c>
      <c r="H41" t="s">
        <v>8</v>
      </c>
      <c r="I41" s="3">
        <v>46183</v>
      </c>
      <c r="J41">
        <f t="shared" si="3"/>
        <v>1</v>
      </c>
      <c r="K41" s="1"/>
    </row>
    <row r="42" spans="1:11" x14ac:dyDescent="0.3">
      <c r="A42">
        <v>41</v>
      </c>
      <c r="B42" t="s">
        <v>7</v>
      </c>
      <c r="C42" t="str">
        <f t="shared" si="1"/>
        <v>Insight Corp</v>
      </c>
      <c r="D42" t="str">
        <f t="shared" si="2"/>
        <v>INSIGHT CORP</v>
      </c>
      <c r="E42" t="s">
        <v>10</v>
      </c>
      <c r="F42">
        <v>3</v>
      </c>
      <c r="G42">
        <v>8</v>
      </c>
      <c r="H42" t="s">
        <v>18</v>
      </c>
      <c r="I42" s="3"/>
      <c r="J42">
        <f t="shared" si="3"/>
        <v>1</v>
      </c>
    </row>
    <row r="43" spans="1:11" x14ac:dyDescent="0.3">
      <c r="A43">
        <v>42</v>
      </c>
      <c r="B43" t="s">
        <v>21</v>
      </c>
      <c r="C43" t="str">
        <f t="shared" si="1"/>
        <v>AIWorks</v>
      </c>
      <c r="D43" t="str">
        <f t="shared" si="2"/>
        <v>AIWORKS</v>
      </c>
      <c r="E43" t="s">
        <v>10</v>
      </c>
      <c r="F43">
        <v>1</v>
      </c>
      <c r="G43">
        <v>8</v>
      </c>
      <c r="H43" t="s">
        <v>15</v>
      </c>
      <c r="I43" s="3"/>
      <c r="J43">
        <f t="shared" si="3"/>
        <v>1</v>
      </c>
    </row>
    <row r="44" spans="1:11" x14ac:dyDescent="0.3">
      <c r="A44">
        <v>43</v>
      </c>
      <c r="B44" t="s">
        <v>21</v>
      </c>
      <c r="C44" t="str">
        <f t="shared" si="1"/>
        <v>AIWorks</v>
      </c>
      <c r="D44" t="str">
        <f t="shared" si="2"/>
        <v>AIWORKS</v>
      </c>
      <c r="E44" t="s">
        <v>10</v>
      </c>
      <c r="F44">
        <v>2</v>
      </c>
      <c r="G44">
        <v>10</v>
      </c>
      <c r="H44" t="s">
        <v>8</v>
      </c>
      <c r="I44" s="3">
        <v>46183</v>
      </c>
      <c r="J44">
        <f t="shared" si="3"/>
        <v>1</v>
      </c>
      <c r="K44" s="1"/>
    </row>
    <row r="45" spans="1:11" x14ac:dyDescent="0.3">
      <c r="A45">
        <v>44</v>
      </c>
      <c r="B45" t="s">
        <v>19</v>
      </c>
      <c r="C45" t="str">
        <f t="shared" si="1"/>
        <v>datasphere</v>
      </c>
      <c r="D45" t="str">
        <f t="shared" si="2"/>
        <v>DATASPHERE</v>
      </c>
      <c r="E45" t="s">
        <v>13</v>
      </c>
      <c r="F45">
        <v>3</v>
      </c>
      <c r="G45">
        <v>8</v>
      </c>
      <c r="H45" t="s">
        <v>15</v>
      </c>
      <c r="I45" s="3">
        <v>46183</v>
      </c>
      <c r="J45">
        <f t="shared" si="3"/>
        <v>1</v>
      </c>
      <c r="K45" s="1"/>
    </row>
    <row r="46" spans="1:11" x14ac:dyDescent="0.3">
      <c r="A46">
        <v>45</v>
      </c>
      <c r="B46" t="s">
        <v>16</v>
      </c>
      <c r="C46" t="str">
        <f t="shared" si="1"/>
        <v>TechNova</v>
      </c>
      <c r="D46" t="str">
        <f t="shared" si="2"/>
        <v>TECHNOVA</v>
      </c>
      <c r="E46" t="s">
        <v>14</v>
      </c>
      <c r="F46">
        <v>0</v>
      </c>
      <c r="G46">
        <v>8</v>
      </c>
      <c r="H46" t="s">
        <v>15</v>
      </c>
      <c r="I46" s="3">
        <v>46028</v>
      </c>
      <c r="J46">
        <f t="shared" si="3"/>
        <v>1</v>
      </c>
      <c r="K46" s="1"/>
    </row>
    <row r="47" spans="1:11" x14ac:dyDescent="0.3">
      <c r="A47">
        <v>46</v>
      </c>
      <c r="B47" t="s">
        <v>7</v>
      </c>
      <c r="C47" t="str">
        <f t="shared" si="1"/>
        <v>Insight Corp</v>
      </c>
      <c r="D47" t="str">
        <f t="shared" si="2"/>
        <v>INSIGHT CORP</v>
      </c>
      <c r="E47" t="s">
        <v>17</v>
      </c>
      <c r="F47">
        <v>1</v>
      </c>
      <c r="G47">
        <v>6</v>
      </c>
      <c r="H47" t="s">
        <v>24</v>
      </c>
      <c r="I47" s="3">
        <v>46183</v>
      </c>
      <c r="J47">
        <f t="shared" si="3"/>
        <v>1</v>
      </c>
      <c r="K47" s="1"/>
    </row>
    <row r="48" spans="1:11" x14ac:dyDescent="0.3">
      <c r="A48">
        <v>47</v>
      </c>
      <c r="B48" t="s">
        <v>9</v>
      </c>
      <c r="C48" t="str">
        <f t="shared" si="1"/>
        <v>DataSphere</v>
      </c>
      <c r="D48" t="str">
        <f t="shared" si="2"/>
        <v>DATASPHERE</v>
      </c>
      <c r="E48" t="s">
        <v>13</v>
      </c>
      <c r="F48">
        <v>1</v>
      </c>
      <c r="G48">
        <v>8</v>
      </c>
      <c r="H48" t="s">
        <v>8</v>
      </c>
      <c r="I48" s="3">
        <v>46143</v>
      </c>
      <c r="J48">
        <f t="shared" si="3"/>
        <v>1</v>
      </c>
      <c r="K48" s="1"/>
    </row>
    <row r="49" spans="1:11" x14ac:dyDescent="0.3">
      <c r="A49">
        <v>48</v>
      </c>
      <c r="B49" t="s">
        <v>12</v>
      </c>
      <c r="C49" t="str">
        <f t="shared" si="1"/>
        <v>TechNova</v>
      </c>
      <c r="D49" t="str">
        <f t="shared" si="2"/>
        <v>TECHNOVA</v>
      </c>
      <c r="E49" t="s">
        <v>23</v>
      </c>
      <c r="F49">
        <v>1</v>
      </c>
      <c r="G49">
        <v>4.5</v>
      </c>
      <c r="H49" t="s">
        <v>15</v>
      </c>
      <c r="I49" s="3">
        <v>46143</v>
      </c>
      <c r="J49">
        <f t="shared" si="3"/>
        <v>1</v>
      </c>
      <c r="K49" s="1"/>
    </row>
    <row r="50" spans="1:11" x14ac:dyDescent="0.3">
      <c r="A50">
        <v>49</v>
      </c>
      <c r="B50" t="s">
        <v>19</v>
      </c>
      <c r="C50" t="str">
        <f t="shared" si="1"/>
        <v>datasphere</v>
      </c>
      <c r="D50" t="str">
        <f t="shared" si="2"/>
        <v>DATASPHERE</v>
      </c>
      <c r="E50" t="s">
        <v>14</v>
      </c>
      <c r="F50">
        <v>1</v>
      </c>
      <c r="G50">
        <v>10</v>
      </c>
      <c r="H50" t="s">
        <v>18</v>
      </c>
      <c r="I50" s="3">
        <v>46143</v>
      </c>
      <c r="J50">
        <f t="shared" si="3"/>
        <v>1</v>
      </c>
      <c r="K50" s="1"/>
    </row>
    <row r="51" spans="1:11" x14ac:dyDescent="0.3">
      <c r="A51">
        <v>51</v>
      </c>
      <c r="B51" t="s">
        <v>16</v>
      </c>
      <c r="C51" t="str">
        <f t="shared" si="1"/>
        <v>TechNova</v>
      </c>
      <c r="D51" t="str">
        <f t="shared" si="2"/>
        <v>TECHNOVA</v>
      </c>
      <c r="E51" t="s">
        <v>13</v>
      </c>
      <c r="F51">
        <v>0</v>
      </c>
      <c r="G51">
        <v>4.5</v>
      </c>
      <c r="H51" t="s">
        <v>18</v>
      </c>
      <c r="I51" s="3">
        <v>46028</v>
      </c>
      <c r="J51">
        <f t="shared" si="3"/>
        <v>1</v>
      </c>
    </row>
    <row r="52" spans="1:11" x14ac:dyDescent="0.3">
      <c r="A52">
        <v>52</v>
      </c>
      <c r="B52" t="s">
        <v>9</v>
      </c>
      <c r="C52" t="str">
        <f t="shared" si="1"/>
        <v>DataSphere</v>
      </c>
      <c r="D52" t="str">
        <f t="shared" si="2"/>
        <v>DATASPHERE</v>
      </c>
      <c r="E52" t="s">
        <v>20</v>
      </c>
      <c r="F52">
        <v>3</v>
      </c>
      <c r="G52">
        <v>6</v>
      </c>
      <c r="H52" t="s">
        <v>24</v>
      </c>
      <c r="I52" s="3"/>
      <c r="J52">
        <f t="shared" si="3"/>
        <v>1</v>
      </c>
      <c r="K52" s="1"/>
    </row>
    <row r="53" spans="1:11" x14ac:dyDescent="0.3">
      <c r="A53">
        <v>53</v>
      </c>
      <c r="B53" t="s">
        <v>12</v>
      </c>
      <c r="C53" t="str">
        <f t="shared" si="1"/>
        <v>TechNova</v>
      </c>
      <c r="D53" t="str">
        <f t="shared" si="2"/>
        <v>TECHNOVA</v>
      </c>
      <c r="E53" t="s">
        <v>17</v>
      </c>
      <c r="F53">
        <v>3</v>
      </c>
      <c r="G53">
        <v>8</v>
      </c>
      <c r="H53" t="s">
        <v>24</v>
      </c>
      <c r="I53" s="3"/>
      <c r="J53">
        <f t="shared" si="3"/>
        <v>1</v>
      </c>
    </row>
    <row r="54" spans="1:11" x14ac:dyDescent="0.3">
      <c r="A54">
        <v>54</v>
      </c>
      <c r="B54" t="s">
        <v>16</v>
      </c>
      <c r="C54" t="str">
        <f t="shared" si="1"/>
        <v>TechNova</v>
      </c>
      <c r="D54" t="str">
        <f t="shared" si="2"/>
        <v>TECHNOVA</v>
      </c>
      <c r="E54" t="s">
        <v>20</v>
      </c>
      <c r="F54">
        <v>1</v>
      </c>
      <c r="G54">
        <v>6</v>
      </c>
      <c r="H54" t="s">
        <v>18</v>
      </c>
      <c r="I54" s="3">
        <v>46028</v>
      </c>
      <c r="J54">
        <f t="shared" si="3"/>
        <v>1</v>
      </c>
    </row>
    <row r="55" spans="1:11" x14ac:dyDescent="0.3">
      <c r="A55">
        <v>55</v>
      </c>
      <c r="B55" t="s">
        <v>7</v>
      </c>
      <c r="C55" t="str">
        <f t="shared" si="1"/>
        <v>Insight Corp</v>
      </c>
      <c r="D55" t="str">
        <f t="shared" si="2"/>
        <v>INSIGHT CORP</v>
      </c>
      <c r="E55" t="s">
        <v>14</v>
      </c>
      <c r="F55">
        <v>0</v>
      </c>
      <c r="G55">
        <v>6</v>
      </c>
      <c r="H55" t="s">
        <v>11</v>
      </c>
      <c r="I55" s="3">
        <v>46143</v>
      </c>
      <c r="J55">
        <f t="shared" si="3"/>
        <v>1</v>
      </c>
      <c r="K55" s="1"/>
    </row>
    <row r="56" spans="1:11" x14ac:dyDescent="0.3">
      <c r="A56">
        <v>56</v>
      </c>
      <c r="B56" t="s">
        <v>16</v>
      </c>
      <c r="C56" t="str">
        <f t="shared" si="1"/>
        <v>TechNova</v>
      </c>
      <c r="D56" t="str">
        <f t="shared" si="2"/>
        <v>TECHNOVA</v>
      </c>
      <c r="E56" t="s">
        <v>10</v>
      </c>
      <c r="F56">
        <v>1</v>
      </c>
      <c r="G56">
        <v>6</v>
      </c>
      <c r="H56" t="s">
        <v>24</v>
      </c>
      <c r="I56" s="3">
        <v>46028</v>
      </c>
      <c r="J56">
        <f t="shared" si="3"/>
        <v>1</v>
      </c>
      <c r="K56" s="1"/>
    </row>
    <row r="57" spans="1:11" x14ac:dyDescent="0.3">
      <c r="A57">
        <v>57</v>
      </c>
      <c r="B57" t="s">
        <v>19</v>
      </c>
      <c r="C57" t="str">
        <f t="shared" si="1"/>
        <v>datasphere</v>
      </c>
      <c r="D57" t="str">
        <f t="shared" si="2"/>
        <v>DATASPHERE</v>
      </c>
      <c r="E57" t="s">
        <v>10</v>
      </c>
      <c r="F57">
        <v>1</v>
      </c>
      <c r="G57">
        <v>10</v>
      </c>
      <c r="H57" t="s">
        <v>11</v>
      </c>
      <c r="I57" s="3">
        <v>46143</v>
      </c>
      <c r="J57">
        <f t="shared" si="3"/>
        <v>1</v>
      </c>
      <c r="K57" s="1"/>
    </row>
    <row r="58" spans="1:11" x14ac:dyDescent="0.3">
      <c r="A58">
        <v>58</v>
      </c>
      <c r="B58" t="s">
        <v>9</v>
      </c>
      <c r="C58" t="str">
        <f t="shared" si="1"/>
        <v>DataSphere</v>
      </c>
      <c r="D58" t="str">
        <f t="shared" si="2"/>
        <v>DATASPHERE</v>
      </c>
      <c r="E58" t="s">
        <v>10</v>
      </c>
      <c r="F58">
        <v>3</v>
      </c>
      <c r="G58">
        <v>8</v>
      </c>
      <c r="H58" t="s">
        <v>24</v>
      </c>
      <c r="I58" s="3">
        <v>46143</v>
      </c>
      <c r="J58">
        <f t="shared" si="3"/>
        <v>1</v>
      </c>
      <c r="K58" s="1"/>
    </row>
    <row r="59" spans="1:11" x14ac:dyDescent="0.3">
      <c r="A59">
        <v>59</v>
      </c>
      <c r="B59" t="s">
        <v>21</v>
      </c>
      <c r="C59" t="str">
        <f t="shared" si="1"/>
        <v>AIWorks</v>
      </c>
      <c r="D59" t="str">
        <f t="shared" si="2"/>
        <v>AIWORKS</v>
      </c>
      <c r="E59" t="s">
        <v>20</v>
      </c>
      <c r="F59">
        <v>3</v>
      </c>
      <c r="G59">
        <v>8</v>
      </c>
      <c r="H59" t="s">
        <v>15</v>
      </c>
      <c r="I59" s="3">
        <v>46183</v>
      </c>
      <c r="J59">
        <f t="shared" si="3"/>
        <v>1</v>
      </c>
      <c r="K59" s="1"/>
    </row>
    <row r="60" spans="1:11" x14ac:dyDescent="0.3">
      <c r="A60">
        <v>60</v>
      </c>
      <c r="B60" t="s">
        <v>9</v>
      </c>
      <c r="C60" t="str">
        <f t="shared" si="1"/>
        <v>DataSphere</v>
      </c>
      <c r="D60" t="str">
        <f t="shared" si="2"/>
        <v>DATASPHERE</v>
      </c>
      <c r="E60" t="s">
        <v>17</v>
      </c>
      <c r="F60">
        <v>2</v>
      </c>
      <c r="G60">
        <v>8</v>
      </c>
      <c r="H60" t="s">
        <v>24</v>
      </c>
      <c r="I60" s="3">
        <v>46143</v>
      </c>
      <c r="J60">
        <f t="shared" si="3"/>
        <v>1</v>
      </c>
      <c r="K60" s="1"/>
    </row>
    <row r="61" spans="1:11" x14ac:dyDescent="0.3">
      <c r="A61">
        <v>61</v>
      </c>
      <c r="B61" t="s">
        <v>21</v>
      </c>
      <c r="C61" t="str">
        <f t="shared" si="1"/>
        <v>AIWorks</v>
      </c>
      <c r="D61" t="str">
        <f t="shared" si="2"/>
        <v>AIWORKS</v>
      </c>
      <c r="E61" t="s">
        <v>20</v>
      </c>
      <c r="F61">
        <v>1</v>
      </c>
      <c r="G61">
        <v>10</v>
      </c>
      <c r="H61" t="s">
        <v>18</v>
      </c>
      <c r="I61" s="3">
        <v>46028</v>
      </c>
      <c r="J61">
        <f t="shared" si="3"/>
        <v>1</v>
      </c>
      <c r="K61" s="1"/>
    </row>
    <row r="62" spans="1:11" x14ac:dyDescent="0.3">
      <c r="A62">
        <v>62</v>
      </c>
      <c r="B62" t="s">
        <v>21</v>
      </c>
      <c r="C62" t="str">
        <f t="shared" si="1"/>
        <v>AIWorks</v>
      </c>
      <c r="D62" t="str">
        <f t="shared" si="2"/>
        <v>AIWORKS</v>
      </c>
      <c r="E62" t="s">
        <v>10</v>
      </c>
      <c r="F62">
        <v>0</v>
      </c>
      <c r="G62">
        <v>6</v>
      </c>
      <c r="H62" t="s">
        <v>8</v>
      </c>
      <c r="I62" s="3">
        <v>46183</v>
      </c>
      <c r="J62">
        <f t="shared" si="3"/>
        <v>1</v>
      </c>
      <c r="K62" s="1"/>
    </row>
    <row r="63" spans="1:11" x14ac:dyDescent="0.3">
      <c r="A63">
        <v>63</v>
      </c>
      <c r="B63" t="s">
        <v>7</v>
      </c>
      <c r="C63" t="str">
        <f t="shared" si="1"/>
        <v>Insight Corp</v>
      </c>
      <c r="D63" t="str">
        <f t="shared" si="2"/>
        <v>INSIGHT CORP</v>
      </c>
      <c r="E63" t="s">
        <v>13</v>
      </c>
      <c r="F63">
        <v>3</v>
      </c>
      <c r="G63">
        <v>8</v>
      </c>
      <c r="H63" t="s">
        <v>18</v>
      </c>
      <c r="I63" s="3">
        <v>46183</v>
      </c>
      <c r="J63">
        <f t="shared" si="3"/>
        <v>1</v>
      </c>
      <c r="K63" s="1"/>
    </row>
    <row r="64" spans="1:11" x14ac:dyDescent="0.3">
      <c r="A64">
        <v>64</v>
      </c>
      <c r="B64" t="s">
        <v>7</v>
      </c>
      <c r="C64" t="str">
        <f t="shared" si="1"/>
        <v>Insight Corp</v>
      </c>
      <c r="D64" t="str">
        <f t="shared" si="2"/>
        <v>INSIGHT CORP</v>
      </c>
      <c r="E64" t="s">
        <v>23</v>
      </c>
      <c r="F64">
        <v>2</v>
      </c>
      <c r="G64">
        <v>8</v>
      </c>
      <c r="H64" t="s">
        <v>24</v>
      </c>
      <c r="I64" s="3">
        <v>46028</v>
      </c>
      <c r="J64">
        <f t="shared" si="3"/>
        <v>1</v>
      </c>
      <c r="K64" s="1"/>
    </row>
    <row r="65" spans="1:11" x14ac:dyDescent="0.3">
      <c r="A65">
        <v>65</v>
      </c>
      <c r="B65" t="s">
        <v>19</v>
      </c>
      <c r="C65" t="str">
        <f t="shared" si="1"/>
        <v>datasphere</v>
      </c>
      <c r="D65" t="str">
        <f t="shared" si="2"/>
        <v>DATASPHERE</v>
      </c>
      <c r="E65" t="s">
        <v>13</v>
      </c>
      <c r="F65">
        <v>1</v>
      </c>
      <c r="G65">
        <v>8</v>
      </c>
      <c r="H65" t="s">
        <v>24</v>
      </c>
      <c r="I65" s="3">
        <v>46028</v>
      </c>
      <c r="J65">
        <f t="shared" si="3"/>
        <v>1</v>
      </c>
      <c r="K65" s="1"/>
    </row>
    <row r="66" spans="1:11" x14ac:dyDescent="0.3">
      <c r="A66">
        <v>66</v>
      </c>
      <c r="B66" t="s">
        <v>21</v>
      </c>
      <c r="C66" t="str">
        <f t="shared" si="1"/>
        <v>AIWorks</v>
      </c>
      <c r="D66" t="str">
        <f t="shared" si="2"/>
        <v>AIWORKS</v>
      </c>
      <c r="E66" t="s">
        <v>10</v>
      </c>
      <c r="F66">
        <v>1</v>
      </c>
      <c r="G66">
        <v>8</v>
      </c>
      <c r="H66" t="s">
        <v>24</v>
      </c>
      <c r="I66" s="3">
        <v>46183</v>
      </c>
      <c r="J66">
        <f t="shared" ref="J66:J97" si="4">COUNTIF($A$2:$A$121,A66)</f>
        <v>1</v>
      </c>
      <c r="K66" s="1"/>
    </row>
    <row r="67" spans="1:11" x14ac:dyDescent="0.3">
      <c r="A67">
        <v>67</v>
      </c>
      <c r="B67" t="s">
        <v>19</v>
      </c>
      <c r="C67" t="str">
        <f t="shared" ref="C67:C120" si="5">TRIM(B67)</f>
        <v>datasphere</v>
      </c>
      <c r="D67" t="str">
        <f t="shared" ref="D67:D120" si="6">UPPER(C67)</f>
        <v>DATASPHERE</v>
      </c>
      <c r="E67" t="s">
        <v>13</v>
      </c>
      <c r="F67">
        <v>0</v>
      </c>
      <c r="G67">
        <v>10</v>
      </c>
      <c r="H67" t="s">
        <v>15</v>
      </c>
      <c r="I67" s="3"/>
      <c r="J67">
        <f t="shared" si="4"/>
        <v>1</v>
      </c>
      <c r="K67" s="1"/>
    </row>
    <row r="68" spans="1:11" x14ac:dyDescent="0.3">
      <c r="A68">
        <v>68</v>
      </c>
      <c r="B68" t="s">
        <v>19</v>
      </c>
      <c r="C68" t="str">
        <f t="shared" si="5"/>
        <v>datasphere</v>
      </c>
      <c r="D68" t="str">
        <f t="shared" si="6"/>
        <v>DATASPHERE</v>
      </c>
      <c r="E68" t="s">
        <v>13</v>
      </c>
      <c r="F68">
        <v>1</v>
      </c>
      <c r="G68">
        <v>8</v>
      </c>
      <c r="H68" t="s">
        <v>11</v>
      </c>
      <c r="I68" s="3"/>
      <c r="J68">
        <f t="shared" si="4"/>
        <v>1</v>
      </c>
    </row>
    <row r="69" spans="1:11" x14ac:dyDescent="0.3">
      <c r="A69">
        <v>69</v>
      </c>
      <c r="B69" t="s">
        <v>12</v>
      </c>
      <c r="C69" t="str">
        <f t="shared" si="5"/>
        <v>TechNova</v>
      </c>
      <c r="D69" t="str">
        <f t="shared" si="6"/>
        <v>TECHNOVA</v>
      </c>
      <c r="E69" t="s">
        <v>20</v>
      </c>
      <c r="F69">
        <v>3</v>
      </c>
      <c r="G69">
        <v>10</v>
      </c>
      <c r="H69" t="s">
        <v>18</v>
      </c>
      <c r="I69" s="3"/>
      <c r="J69">
        <f t="shared" si="4"/>
        <v>1</v>
      </c>
    </row>
    <row r="70" spans="1:11" x14ac:dyDescent="0.3">
      <c r="A70">
        <v>70</v>
      </c>
      <c r="B70" t="s">
        <v>19</v>
      </c>
      <c r="C70" t="str">
        <f t="shared" si="5"/>
        <v>datasphere</v>
      </c>
      <c r="D70" t="str">
        <f t="shared" si="6"/>
        <v>DATASPHERE</v>
      </c>
      <c r="E70" t="s">
        <v>10</v>
      </c>
      <c r="F70">
        <v>2</v>
      </c>
      <c r="G70">
        <v>10</v>
      </c>
      <c r="H70" t="s">
        <v>24</v>
      </c>
      <c r="I70" s="3"/>
      <c r="J70">
        <f t="shared" si="4"/>
        <v>1</v>
      </c>
    </row>
    <row r="71" spans="1:11" x14ac:dyDescent="0.3">
      <c r="A71">
        <v>71</v>
      </c>
      <c r="B71" t="s">
        <v>16</v>
      </c>
      <c r="C71" t="str">
        <f t="shared" si="5"/>
        <v>TechNova</v>
      </c>
      <c r="D71" t="str">
        <f t="shared" si="6"/>
        <v>TECHNOVA</v>
      </c>
      <c r="E71" t="s">
        <v>10</v>
      </c>
      <c r="F71">
        <v>1</v>
      </c>
      <c r="G71">
        <v>8</v>
      </c>
      <c r="H71" t="s">
        <v>11</v>
      </c>
      <c r="I71" s="3">
        <v>46143</v>
      </c>
      <c r="J71">
        <f t="shared" si="4"/>
        <v>1</v>
      </c>
    </row>
    <row r="72" spans="1:11" x14ac:dyDescent="0.3">
      <c r="A72">
        <v>72</v>
      </c>
      <c r="B72" t="s">
        <v>16</v>
      </c>
      <c r="C72" t="str">
        <f t="shared" si="5"/>
        <v>TechNova</v>
      </c>
      <c r="D72" t="str">
        <f t="shared" si="6"/>
        <v>TECHNOVA</v>
      </c>
      <c r="E72" t="s">
        <v>23</v>
      </c>
      <c r="F72">
        <v>1</v>
      </c>
      <c r="G72">
        <v>10</v>
      </c>
      <c r="H72" t="s">
        <v>15</v>
      </c>
      <c r="I72" s="3">
        <v>46028</v>
      </c>
      <c r="J72">
        <f t="shared" si="4"/>
        <v>1</v>
      </c>
      <c r="K72" s="1"/>
    </row>
    <row r="73" spans="1:11" x14ac:dyDescent="0.3">
      <c r="A73">
        <v>73</v>
      </c>
      <c r="B73" t="s">
        <v>12</v>
      </c>
      <c r="C73" t="str">
        <f t="shared" si="5"/>
        <v>TechNova</v>
      </c>
      <c r="D73" t="str">
        <f t="shared" si="6"/>
        <v>TECHNOVA</v>
      </c>
      <c r="E73" t="s">
        <v>17</v>
      </c>
      <c r="F73">
        <v>1</v>
      </c>
      <c r="G73">
        <v>6</v>
      </c>
      <c r="H73" t="s">
        <v>11</v>
      </c>
      <c r="I73" s="3">
        <v>46143</v>
      </c>
      <c r="J73">
        <f t="shared" si="4"/>
        <v>1</v>
      </c>
      <c r="K73" s="1"/>
    </row>
    <row r="74" spans="1:11" x14ac:dyDescent="0.3">
      <c r="A74">
        <v>74</v>
      </c>
      <c r="B74" t="s">
        <v>9</v>
      </c>
      <c r="C74" t="str">
        <f t="shared" si="5"/>
        <v>DataSphere</v>
      </c>
      <c r="D74" t="str">
        <f t="shared" si="6"/>
        <v>DATASPHERE</v>
      </c>
      <c r="E74" t="s">
        <v>10</v>
      </c>
      <c r="F74">
        <v>1</v>
      </c>
      <c r="G74">
        <v>6</v>
      </c>
      <c r="H74" t="s">
        <v>15</v>
      </c>
      <c r="I74" s="3"/>
      <c r="J74">
        <f t="shared" si="4"/>
        <v>1</v>
      </c>
      <c r="K74" s="1"/>
    </row>
    <row r="75" spans="1:11" x14ac:dyDescent="0.3">
      <c r="A75">
        <v>75</v>
      </c>
      <c r="B75" t="s">
        <v>19</v>
      </c>
      <c r="C75" t="str">
        <f t="shared" si="5"/>
        <v>datasphere</v>
      </c>
      <c r="D75" t="str">
        <f t="shared" si="6"/>
        <v>DATASPHERE</v>
      </c>
      <c r="E75" t="s">
        <v>13</v>
      </c>
      <c r="F75">
        <v>1</v>
      </c>
      <c r="G75">
        <v>8</v>
      </c>
      <c r="H75" t="s">
        <v>11</v>
      </c>
      <c r="I75" s="3"/>
      <c r="J75">
        <f t="shared" si="4"/>
        <v>1</v>
      </c>
    </row>
    <row r="76" spans="1:11" x14ac:dyDescent="0.3">
      <c r="A76">
        <v>76</v>
      </c>
      <c r="B76" t="s">
        <v>9</v>
      </c>
      <c r="C76" t="str">
        <f t="shared" si="5"/>
        <v>DataSphere</v>
      </c>
      <c r="D76" t="str">
        <f t="shared" si="6"/>
        <v>DATASPHERE</v>
      </c>
      <c r="E76" t="s">
        <v>14</v>
      </c>
      <c r="F76">
        <v>1</v>
      </c>
      <c r="G76">
        <v>8</v>
      </c>
      <c r="H76" t="s">
        <v>18</v>
      </c>
      <c r="I76" s="3">
        <v>46143</v>
      </c>
      <c r="J76">
        <f t="shared" si="4"/>
        <v>1</v>
      </c>
    </row>
    <row r="77" spans="1:11" x14ac:dyDescent="0.3">
      <c r="A77">
        <v>77</v>
      </c>
      <c r="B77" t="s">
        <v>7</v>
      </c>
      <c r="C77" t="str">
        <f t="shared" si="5"/>
        <v>Insight Corp</v>
      </c>
      <c r="D77" t="str">
        <f t="shared" si="6"/>
        <v>INSIGHT CORP</v>
      </c>
      <c r="E77" t="s">
        <v>10</v>
      </c>
      <c r="F77">
        <v>2</v>
      </c>
      <c r="G77">
        <v>6</v>
      </c>
      <c r="H77" t="s">
        <v>11</v>
      </c>
      <c r="I77" s="3">
        <v>46143</v>
      </c>
      <c r="J77">
        <f t="shared" si="4"/>
        <v>1</v>
      </c>
      <c r="K77" s="1"/>
    </row>
    <row r="78" spans="1:11" x14ac:dyDescent="0.3">
      <c r="A78">
        <v>78</v>
      </c>
      <c r="B78" t="s">
        <v>9</v>
      </c>
      <c r="C78" t="str">
        <f t="shared" si="5"/>
        <v>DataSphere</v>
      </c>
      <c r="D78" t="str">
        <f t="shared" si="6"/>
        <v>DATASPHERE</v>
      </c>
      <c r="E78" t="s">
        <v>13</v>
      </c>
      <c r="F78">
        <v>0</v>
      </c>
      <c r="G78">
        <v>10</v>
      </c>
      <c r="H78" t="s">
        <v>18</v>
      </c>
      <c r="I78" s="3">
        <v>46183</v>
      </c>
      <c r="J78">
        <f t="shared" si="4"/>
        <v>1</v>
      </c>
      <c r="K78" s="1"/>
    </row>
    <row r="79" spans="1:11" x14ac:dyDescent="0.3">
      <c r="A79">
        <v>79</v>
      </c>
      <c r="B79" t="s">
        <v>9</v>
      </c>
      <c r="C79" t="str">
        <f t="shared" si="5"/>
        <v>DataSphere</v>
      </c>
      <c r="D79" t="str">
        <f t="shared" si="6"/>
        <v>DATASPHERE</v>
      </c>
      <c r="E79" t="s">
        <v>23</v>
      </c>
      <c r="F79">
        <v>1</v>
      </c>
      <c r="G79">
        <v>8</v>
      </c>
      <c r="H79" t="s">
        <v>8</v>
      </c>
      <c r="I79" s="3"/>
      <c r="J79">
        <f t="shared" si="4"/>
        <v>1</v>
      </c>
      <c r="K79" s="1"/>
    </row>
    <row r="80" spans="1:11" x14ac:dyDescent="0.3">
      <c r="A80">
        <v>80</v>
      </c>
      <c r="B80" t="s">
        <v>9</v>
      </c>
      <c r="C80" t="str">
        <f t="shared" si="5"/>
        <v>DataSphere</v>
      </c>
      <c r="D80" t="str">
        <f t="shared" si="6"/>
        <v>DATASPHERE</v>
      </c>
      <c r="E80" t="s">
        <v>23</v>
      </c>
      <c r="F80">
        <v>1</v>
      </c>
      <c r="G80">
        <v>10</v>
      </c>
      <c r="H80" t="s">
        <v>11</v>
      </c>
      <c r="I80" s="3">
        <v>46183</v>
      </c>
      <c r="J80">
        <f t="shared" si="4"/>
        <v>1</v>
      </c>
    </row>
    <row r="81" spans="1:11" x14ac:dyDescent="0.3">
      <c r="A81">
        <v>81</v>
      </c>
      <c r="B81" t="s">
        <v>9</v>
      </c>
      <c r="C81" t="str">
        <f t="shared" si="5"/>
        <v>DataSphere</v>
      </c>
      <c r="D81" t="str">
        <f t="shared" si="6"/>
        <v>DATASPHERE</v>
      </c>
      <c r="E81" t="s">
        <v>10</v>
      </c>
      <c r="F81">
        <v>3</v>
      </c>
      <c r="G81">
        <v>10</v>
      </c>
      <c r="H81" t="s">
        <v>24</v>
      </c>
      <c r="I81" s="3">
        <v>46183</v>
      </c>
      <c r="J81">
        <f t="shared" si="4"/>
        <v>1</v>
      </c>
      <c r="K81" s="1"/>
    </row>
    <row r="82" spans="1:11" x14ac:dyDescent="0.3">
      <c r="A82">
        <v>82</v>
      </c>
      <c r="B82" t="s">
        <v>9</v>
      </c>
      <c r="C82" t="str">
        <f t="shared" si="5"/>
        <v>DataSphere</v>
      </c>
      <c r="D82" t="str">
        <f t="shared" si="6"/>
        <v>DATASPHERE</v>
      </c>
      <c r="E82" t="s">
        <v>20</v>
      </c>
      <c r="F82">
        <v>1</v>
      </c>
      <c r="G82">
        <v>4.5</v>
      </c>
      <c r="H82" t="s">
        <v>11</v>
      </c>
      <c r="I82" s="3">
        <v>46143</v>
      </c>
      <c r="J82">
        <f t="shared" si="4"/>
        <v>1</v>
      </c>
      <c r="K82" s="1"/>
    </row>
    <row r="83" spans="1:11" x14ac:dyDescent="0.3">
      <c r="A83">
        <v>83</v>
      </c>
      <c r="B83" t="s">
        <v>7</v>
      </c>
      <c r="C83" t="str">
        <f t="shared" si="5"/>
        <v>Insight Corp</v>
      </c>
      <c r="D83" t="str">
        <f t="shared" si="6"/>
        <v>INSIGHT CORP</v>
      </c>
      <c r="E83" t="s">
        <v>23</v>
      </c>
      <c r="F83">
        <v>1</v>
      </c>
      <c r="G83">
        <v>10</v>
      </c>
      <c r="H83" t="s">
        <v>8</v>
      </c>
      <c r="I83" s="3">
        <v>46143</v>
      </c>
      <c r="J83">
        <f t="shared" si="4"/>
        <v>1</v>
      </c>
      <c r="K83" s="1"/>
    </row>
    <row r="84" spans="1:11" x14ac:dyDescent="0.3">
      <c r="A84">
        <v>84</v>
      </c>
      <c r="B84" t="s">
        <v>19</v>
      </c>
      <c r="C84" t="str">
        <f t="shared" si="5"/>
        <v>datasphere</v>
      </c>
      <c r="D84" t="str">
        <f t="shared" si="6"/>
        <v>DATASPHERE</v>
      </c>
      <c r="E84" t="s">
        <v>20</v>
      </c>
      <c r="F84">
        <v>1</v>
      </c>
      <c r="G84">
        <v>8</v>
      </c>
      <c r="H84" t="s">
        <v>24</v>
      </c>
      <c r="I84" s="3">
        <v>46143</v>
      </c>
      <c r="J84">
        <f t="shared" si="4"/>
        <v>1</v>
      </c>
      <c r="K84" s="1"/>
    </row>
    <row r="85" spans="1:11" x14ac:dyDescent="0.3">
      <c r="A85">
        <v>85</v>
      </c>
      <c r="B85" t="s">
        <v>21</v>
      </c>
      <c r="C85" t="str">
        <f t="shared" si="5"/>
        <v>AIWorks</v>
      </c>
      <c r="D85" t="str">
        <f t="shared" si="6"/>
        <v>AIWORKS</v>
      </c>
      <c r="E85" t="s">
        <v>23</v>
      </c>
      <c r="F85">
        <v>3</v>
      </c>
      <c r="G85">
        <v>8</v>
      </c>
      <c r="H85" t="s">
        <v>18</v>
      </c>
      <c r="I85" s="3">
        <v>46143</v>
      </c>
      <c r="J85">
        <f t="shared" si="4"/>
        <v>1</v>
      </c>
      <c r="K85" s="1"/>
    </row>
    <row r="86" spans="1:11" x14ac:dyDescent="0.3">
      <c r="A86">
        <v>86</v>
      </c>
      <c r="B86" t="s">
        <v>12</v>
      </c>
      <c r="C86" t="str">
        <f t="shared" si="5"/>
        <v>TechNova</v>
      </c>
      <c r="D86" t="str">
        <f t="shared" si="6"/>
        <v>TECHNOVA</v>
      </c>
      <c r="E86" t="s">
        <v>14</v>
      </c>
      <c r="F86">
        <v>1</v>
      </c>
      <c r="G86">
        <v>4.5</v>
      </c>
      <c r="H86" t="s">
        <v>24</v>
      </c>
      <c r="I86" s="3"/>
      <c r="J86">
        <f t="shared" si="4"/>
        <v>1</v>
      </c>
      <c r="K86" s="1"/>
    </row>
    <row r="87" spans="1:11" x14ac:dyDescent="0.3">
      <c r="A87">
        <v>87</v>
      </c>
      <c r="B87" t="s">
        <v>7</v>
      </c>
      <c r="C87" t="str">
        <f t="shared" si="5"/>
        <v>Insight Corp</v>
      </c>
      <c r="D87" t="str">
        <f t="shared" si="6"/>
        <v>INSIGHT CORP</v>
      </c>
      <c r="E87" t="s">
        <v>20</v>
      </c>
      <c r="F87">
        <v>0</v>
      </c>
      <c r="G87">
        <v>10</v>
      </c>
      <c r="H87" t="s">
        <v>15</v>
      </c>
      <c r="I87" s="3">
        <v>46028</v>
      </c>
      <c r="J87">
        <f t="shared" si="4"/>
        <v>1</v>
      </c>
    </row>
    <row r="88" spans="1:11" x14ac:dyDescent="0.3">
      <c r="A88">
        <v>88</v>
      </c>
      <c r="B88" t="s">
        <v>16</v>
      </c>
      <c r="C88" t="str">
        <f t="shared" si="5"/>
        <v>TechNova</v>
      </c>
      <c r="D88" t="str">
        <f t="shared" si="6"/>
        <v>TECHNOVA</v>
      </c>
      <c r="E88" t="s">
        <v>20</v>
      </c>
      <c r="F88">
        <v>2</v>
      </c>
      <c r="G88">
        <v>6</v>
      </c>
      <c r="H88" t="s">
        <v>15</v>
      </c>
      <c r="I88" s="3">
        <v>46028</v>
      </c>
      <c r="J88">
        <f t="shared" si="4"/>
        <v>1</v>
      </c>
      <c r="K88" s="1"/>
    </row>
    <row r="89" spans="1:11" x14ac:dyDescent="0.3">
      <c r="A89">
        <v>89</v>
      </c>
      <c r="B89" t="s">
        <v>19</v>
      </c>
      <c r="C89" t="str">
        <f t="shared" si="5"/>
        <v>datasphere</v>
      </c>
      <c r="D89" t="str">
        <f t="shared" si="6"/>
        <v>DATASPHERE</v>
      </c>
      <c r="E89" t="s">
        <v>14</v>
      </c>
      <c r="F89">
        <v>1</v>
      </c>
      <c r="G89">
        <v>10</v>
      </c>
      <c r="H89" t="s">
        <v>15</v>
      </c>
      <c r="I89" s="3"/>
      <c r="J89">
        <f t="shared" si="4"/>
        <v>1</v>
      </c>
      <c r="K89" s="1"/>
    </row>
    <row r="90" spans="1:11" x14ac:dyDescent="0.3">
      <c r="A90">
        <v>90</v>
      </c>
      <c r="B90" t="s">
        <v>21</v>
      </c>
      <c r="C90" t="str">
        <f t="shared" si="5"/>
        <v>AIWorks</v>
      </c>
      <c r="D90" t="str">
        <f t="shared" si="6"/>
        <v>AIWORKS</v>
      </c>
      <c r="E90" t="s">
        <v>20</v>
      </c>
      <c r="F90">
        <v>1</v>
      </c>
      <c r="G90">
        <v>8</v>
      </c>
      <c r="H90" t="s">
        <v>18</v>
      </c>
      <c r="I90" s="3">
        <v>46143</v>
      </c>
      <c r="J90">
        <f t="shared" si="4"/>
        <v>1</v>
      </c>
    </row>
    <row r="91" spans="1:11" x14ac:dyDescent="0.3">
      <c r="A91">
        <v>91</v>
      </c>
      <c r="B91" t="s">
        <v>9</v>
      </c>
      <c r="C91" t="str">
        <f t="shared" si="5"/>
        <v>DataSphere</v>
      </c>
      <c r="D91" t="str">
        <f t="shared" si="6"/>
        <v>DATASPHERE</v>
      </c>
      <c r="E91" t="s">
        <v>10</v>
      </c>
      <c r="F91">
        <v>1</v>
      </c>
      <c r="G91">
        <v>10</v>
      </c>
      <c r="H91" t="s">
        <v>24</v>
      </c>
      <c r="I91" s="3">
        <v>46183</v>
      </c>
      <c r="J91">
        <f t="shared" si="4"/>
        <v>1</v>
      </c>
      <c r="K91" s="1"/>
    </row>
    <row r="92" spans="1:11" x14ac:dyDescent="0.3">
      <c r="A92">
        <v>92</v>
      </c>
      <c r="B92" t="s">
        <v>9</v>
      </c>
      <c r="C92" t="str">
        <f t="shared" si="5"/>
        <v>DataSphere</v>
      </c>
      <c r="D92" t="str">
        <f t="shared" si="6"/>
        <v>DATASPHERE</v>
      </c>
      <c r="E92" t="s">
        <v>14</v>
      </c>
      <c r="F92">
        <v>1</v>
      </c>
      <c r="G92">
        <v>10</v>
      </c>
      <c r="H92" t="s">
        <v>18</v>
      </c>
      <c r="I92" s="3">
        <v>46028</v>
      </c>
      <c r="J92">
        <f t="shared" si="4"/>
        <v>1</v>
      </c>
      <c r="K92" s="1"/>
    </row>
    <row r="93" spans="1:11" x14ac:dyDescent="0.3">
      <c r="A93">
        <v>93</v>
      </c>
      <c r="B93" t="s">
        <v>12</v>
      </c>
      <c r="C93" t="str">
        <f t="shared" si="5"/>
        <v>TechNova</v>
      </c>
      <c r="D93" t="str">
        <f t="shared" si="6"/>
        <v>TECHNOVA</v>
      </c>
      <c r="E93" t="s">
        <v>23</v>
      </c>
      <c r="F93">
        <v>0</v>
      </c>
      <c r="G93">
        <v>8</v>
      </c>
      <c r="H93" t="s">
        <v>8</v>
      </c>
      <c r="I93" s="3">
        <v>46143</v>
      </c>
      <c r="J93">
        <f t="shared" si="4"/>
        <v>1</v>
      </c>
      <c r="K93" s="1"/>
    </row>
    <row r="94" spans="1:11" x14ac:dyDescent="0.3">
      <c r="A94">
        <v>94</v>
      </c>
      <c r="B94" t="s">
        <v>12</v>
      </c>
      <c r="C94" t="str">
        <f t="shared" si="5"/>
        <v>TechNova</v>
      </c>
      <c r="D94" t="str">
        <f t="shared" si="6"/>
        <v>TECHNOVA</v>
      </c>
      <c r="E94" t="s">
        <v>13</v>
      </c>
      <c r="F94">
        <v>3</v>
      </c>
      <c r="G94">
        <v>10</v>
      </c>
      <c r="H94" t="s">
        <v>24</v>
      </c>
      <c r="I94" s="3">
        <v>46028</v>
      </c>
      <c r="J94">
        <f t="shared" si="4"/>
        <v>1</v>
      </c>
      <c r="K94" s="1"/>
    </row>
    <row r="95" spans="1:11" x14ac:dyDescent="0.3">
      <c r="A95">
        <v>95</v>
      </c>
      <c r="B95" t="s">
        <v>16</v>
      </c>
      <c r="C95" t="str">
        <f t="shared" si="5"/>
        <v>TechNova</v>
      </c>
      <c r="D95" t="str">
        <f t="shared" si="6"/>
        <v>TECHNOVA</v>
      </c>
      <c r="E95" t="s">
        <v>17</v>
      </c>
      <c r="F95">
        <v>2</v>
      </c>
      <c r="G95">
        <v>4.5</v>
      </c>
      <c r="H95" t="s">
        <v>8</v>
      </c>
      <c r="I95" s="3">
        <v>46143</v>
      </c>
      <c r="J95">
        <f t="shared" si="4"/>
        <v>1</v>
      </c>
      <c r="K95" s="1"/>
    </row>
    <row r="96" spans="1:11" x14ac:dyDescent="0.3">
      <c r="A96">
        <v>96</v>
      </c>
      <c r="B96" t="s">
        <v>9</v>
      </c>
      <c r="C96" t="str">
        <f t="shared" si="5"/>
        <v>DataSphere</v>
      </c>
      <c r="D96" t="str">
        <f t="shared" si="6"/>
        <v>DATASPHERE</v>
      </c>
      <c r="E96" t="s">
        <v>23</v>
      </c>
      <c r="F96">
        <v>1</v>
      </c>
      <c r="G96">
        <v>6</v>
      </c>
      <c r="H96" t="s">
        <v>8</v>
      </c>
      <c r="I96" s="3">
        <v>46183</v>
      </c>
      <c r="J96">
        <f t="shared" si="4"/>
        <v>1</v>
      </c>
      <c r="K96" s="1"/>
    </row>
    <row r="97" spans="1:11" x14ac:dyDescent="0.3">
      <c r="A97">
        <v>97</v>
      </c>
      <c r="B97" t="s">
        <v>12</v>
      </c>
      <c r="C97" t="str">
        <f t="shared" si="5"/>
        <v>TechNova</v>
      </c>
      <c r="D97" t="str">
        <f t="shared" si="6"/>
        <v>TECHNOVA</v>
      </c>
      <c r="E97" t="s">
        <v>14</v>
      </c>
      <c r="F97">
        <v>1</v>
      </c>
      <c r="G97">
        <v>8</v>
      </c>
      <c r="H97" t="s">
        <v>11</v>
      </c>
      <c r="I97" s="3">
        <v>46028</v>
      </c>
      <c r="J97">
        <f t="shared" si="4"/>
        <v>1</v>
      </c>
      <c r="K97" s="1"/>
    </row>
    <row r="98" spans="1:11" x14ac:dyDescent="0.3">
      <c r="A98">
        <v>98</v>
      </c>
      <c r="B98" t="s">
        <v>9</v>
      </c>
      <c r="C98" t="str">
        <f t="shared" si="5"/>
        <v>DataSphere</v>
      </c>
      <c r="D98" t="str">
        <f t="shared" si="6"/>
        <v>DATASPHERE</v>
      </c>
      <c r="E98" t="s">
        <v>20</v>
      </c>
      <c r="F98">
        <v>1</v>
      </c>
      <c r="G98">
        <v>8</v>
      </c>
      <c r="H98" t="s">
        <v>15</v>
      </c>
      <c r="I98" s="3"/>
      <c r="J98">
        <f t="shared" ref="J98:J120" si="7">COUNTIF($A$2:$A$121,A98)</f>
        <v>1</v>
      </c>
      <c r="K98" s="1"/>
    </row>
    <row r="99" spans="1:11" x14ac:dyDescent="0.3">
      <c r="A99">
        <v>99</v>
      </c>
      <c r="B99" t="s">
        <v>7</v>
      </c>
      <c r="C99" t="str">
        <f t="shared" si="5"/>
        <v>Insight Corp</v>
      </c>
      <c r="D99" t="str">
        <f t="shared" si="6"/>
        <v>INSIGHT CORP</v>
      </c>
      <c r="E99" t="s">
        <v>10</v>
      </c>
      <c r="F99">
        <v>0</v>
      </c>
      <c r="G99">
        <v>4.5</v>
      </c>
      <c r="H99" t="s">
        <v>8</v>
      </c>
      <c r="I99" s="3">
        <v>46143</v>
      </c>
      <c r="J99">
        <f t="shared" si="7"/>
        <v>1</v>
      </c>
    </row>
    <row r="100" spans="1:11" x14ac:dyDescent="0.3">
      <c r="A100">
        <v>100</v>
      </c>
      <c r="B100" t="s">
        <v>21</v>
      </c>
      <c r="C100" t="str">
        <f t="shared" si="5"/>
        <v>AIWorks</v>
      </c>
      <c r="D100" t="str">
        <f t="shared" si="6"/>
        <v>AIWORKS</v>
      </c>
      <c r="E100" t="s">
        <v>10</v>
      </c>
      <c r="F100">
        <v>2</v>
      </c>
      <c r="G100">
        <v>8</v>
      </c>
      <c r="H100" t="s">
        <v>11</v>
      </c>
      <c r="I100" s="3">
        <v>46143</v>
      </c>
      <c r="J100">
        <f t="shared" si="7"/>
        <v>1</v>
      </c>
      <c r="K100" s="1"/>
    </row>
    <row r="101" spans="1:11" x14ac:dyDescent="0.3">
      <c r="A101">
        <v>101</v>
      </c>
      <c r="B101" t="s">
        <v>9</v>
      </c>
      <c r="C101" t="str">
        <f t="shared" si="5"/>
        <v>DataSphere</v>
      </c>
      <c r="D101" t="str">
        <f t="shared" si="6"/>
        <v>DATASPHERE</v>
      </c>
      <c r="E101" t="s">
        <v>14</v>
      </c>
      <c r="F101">
        <v>0</v>
      </c>
      <c r="G101">
        <v>4.5</v>
      </c>
      <c r="H101" t="s">
        <v>8</v>
      </c>
      <c r="I101" s="3">
        <v>46028</v>
      </c>
      <c r="J101">
        <f t="shared" si="7"/>
        <v>1</v>
      </c>
      <c r="K101" s="1"/>
    </row>
    <row r="102" spans="1:11" x14ac:dyDescent="0.3">
      <c r="A102">
        <v>102</v>
      </c>
      <c r="B102" t="s">
        <v>19</v>
      </c>
      <c r="C102" t="str">
        <f t="shared" si="5"/>
        <v>datasphere</v>
      </c>
      <c r="D102" t="str">
        <f t="shared" si="6"/>
        <v>DATASPHERE</v>
      </c>
      <c r="E102" t="s">
        <v>14</v>
      </c>
      <c r="F102">
        <v>0</v>
      </c>
      <c r="G102">
        <v>8</v>
      </c>
      <c r="H102" t="s">
        <v>24</v>
      </c>
      <c r="I102" s="3">
        <v>46028</v>
      </c>
      <c r="J102">
        <f t="shared" si="7"/>
        <v>1</v>
      </c>
      <c r="K102" s="1"/>
    </row>
    <row r="103" spans="1:11" x14ac:dyDescent="0.3">
      <c r="A103">
        <v>103</v>
      </c>
      <c r="B103" t="s">
        <v>9</v>
      </c>
      <c r="C103" t="str">
        <f t="shared" si="5"/>
        <v>DataSphere</v>
      </c>
      <c r="D103" t="str">
        <f t="shared" si="6"/>
        <v>DATASPHERE</v>
      </c>
      <c r="E103" t="s">
        <v>10</v>
      </c>
      <c r="F103">
        <v>1</v>
      </c>
      <c r="G103">
        <v>8</v>
      </c>
      <c r="H103" t="s">
        <v>11</v>
      </c>
      <c r="I103" s="3">
        <v>46143</v>
      </c>
      <c r="J103">
        <f t="shared" si="7"/>
        <v>1</v>
      </c>
      <c r="K103" s="1"/>
    </row>
    <row r="104" spans="1:11" x14ac:dyDescent="0.3">
      <c r="A104">
        <v>104</v>
      </c>
      <c r="B104" t="s">
        <v>7</v>
      </c>
      <c r="C104" t="str">
        <f t="shared" si="5"/>
        <v>Insight Corp</v>
      </c>
      <c r="D104" t="str">
        <f t="shared" si="6"/>
        <v>INSIGHT CORP</v>
      </c>
      <c r="E104" t="s">
        <v>13</v>
      </c>
      <c r="F104">
        <v>2</v>
      </c>
      <c r="G104">
        <v>4.5</v>
      </c>
      <c r="H104" t="s">
        <v>11</v>
      </c>
      <c r="I104" s="3"/>
      <c r="J104">
        <f t="shared" si="7"/>
        <v>1</v>
      </c>
      <c r="K104" s="1"/>
    </row>
    <row r="105" spans="1:11" x14ac:dyDescent="0.3">
      <c r="A105">
        <v>105</v>
      </c>
      <c r="B105" t="s">
        <v>21</v>
      </c>
      <c r="C105" t="str">
        <f t="shared" si="5"/>
        <v>AIWorks</v>
      </c>
      <c r="D105" t="str">
        <f t="shared" si="6"/>
        <v>AIWORKS</v>
      </c>
      <c r="E105" t="s">
        <v>14</v>
      </c>
      <c r="F105">
        <v>3</v>
      </c>
      <c r="G105">
        <v>4.5</v>
      </c>
      <c r="H105" t="s">
        <v>24</v>
      </c>
      <c r="I105" s="3">
        <v>46143</v>
      </c>
      <c r="J105">
        <f t="shared" si="7"/>
        <v>1</v>
      </c>
    </row>
    <row r="106" spans="1:11" x14ac:dyDescent="0.3">
      <c r="A106">
        <v>106</v>
      </c>
      <c r="B106" t="s">
        <v>16</v>
      </c>
      <c r="C106" t="str">
        <f t="shared" si="5"/>
        <v>TechNova</v>
      </c>
      <c r="D106" t="str">
        <f t="shared" si="6"/>
        <v>TECHNOVA</v>
      </c>
      <c r="E106" t="s">
        <v>14</v>
      </c>
      <c r="F106">
        <v>1</v>
      </c>
      <c r="G106">
        <v>8</v>
      </c>
      <c r="H106" t="s">
        <v>11</v>
      </c>
      <c r="I106" s="3">
        <v>46183</v>
      </c>
      <c r="J106">
        <f t="shared" si="7"/>
        <v>1</v>
      </c>
      <c r="K106" s="1"/>
    </row>
    <row r="107" spans="1:11" x14ac:dyDescent="0.3">
      <c r="A107">
        <v>107</v>
      </c>
      <c r="B107" t="s">
        <v>19</v>
      </c>
      <c r="C107" t="str">
        <f t="shared" si="5"/>
        <v>datasphere</v>
      </c>
      <c r="D107" t="str">
        <f t="shared" si="6"/>
        <v>DATASPHERE</v>
      </c>
      <c r="E107" t="s">
        <v>17</v>
      </c>
      <c r="F107">
        <v>2</v>
      </c>
      <c r="G107">
        <v>6</v>
      </c>
      <c r="H107" t="s">
        <v>15</v>
      </c>
      <c r="I107" s="3"/>
      <c r="J107">
        <f t="shared" si="7"/>
        <v>1</v>
      </c>
      <c r="K107" s="1"/>
    </row>
    <row r="108" spans="1:11" x14ac:dyDescent="0.3">
      <c r="A108">
        <v>108</v>
      </c>
      <c r="B108" t="s">
        <v>7</v>
      </c>
      <c r="C108" t="str">
        <f t="shared" si="5"/>
        <v>Insight Corp</v>
      </c>
      <c r="D108" t="str">
        <f t="shared" si="6"/>
        <v>INSIGHT CORP</v>
      </c>
      <c r="E108" t="s">
        <v>20</v>
      </c>
      <c r="F108">
        <v>1</v>
      </c>
      <c r="G108">
        <v>6</v>
      </c>
      <c r="H108" t="s">
        <v>15</v>
      </c>
      <c r="I108" s="3">
        <v>46143</v>
      </c>
      <c r="J108">
        <f t="shared" si="7"/>
        <v>1</v>
      </c>
    </row>
    <row r="109" spans="1:11" x14ac:dyDescent="0.3">
      <c r="A109">
        <v>109</v>
      </c>
      <c r="B109" t="s">
        <v>9</v>
      </c>
      <c r="C109" t="str">
        <f t="shared" si="5"/>
        <v>DataSphere</v>
      </c>
      <c r="D109" t="str">
        <f t="shared" si="6"/>
        <v>DATASPHERE</v>
      </c>
      <c r="E109" t="s">
        <v>14</v>
      </c>
      <c r="F109">
        <v>0</v>
      </c>
      <c r="G109">
        <v>4.5</v>
      </c>
      <c r="H109" t="s">
        <v>11</v>
      </c>
      <c r="I109" s="3">
        <v>46143</v>
      </c>
      <c r="J109">
        <f t="shared" si="7"/>
        <v>1</v>
      </c>
      <c r="K109" s="1"/>
    </row>
    <row r="110" spans="1:11" x14ac:dyDescent="0.3">
      <c r="A110">
        <v>110</v>
      </c>
      <c r="B110" t="s">
        <v>21</v>
      </c>
      <c r="C110" t="str">
        <f t="shared" si="5"/>
        <v>AIWorks</v>
      </c>
      <c r="D110" t="str">
        <f t="shared" si="6"/>
        <v>AIWORKS</v>
      </c>
      <c r="E110" t="s">
        <v>10</v>
      </c>
      <c r="F110">
        <v>3</v>
      </c>
      <c r="G110">
        <v>8</v>
      </c>
      <c r="H110" t="s">
        <v>18</v>
      </c>
      <c r="I110" s="3">
        <v>46028</v>
      </c>
      <c r="J110">
        <f t="shared" si="7"/>
        <v>1</v>
      </c>
      <c r="K110" s="1"/>
    </row>
    <row r="111" spans="1:11" x14ac:dyDescent="0.3">
      <c r="A111">
        <v>111</v>
      </c>
      <c r="B111" t="s">
        <v>19</v>
      </c>
      <c r="C111" t="str">
        <f t="shared" si="5"/>
        <v>datasphere</v>
      </c>
      <c r="D111" t="str">
        <f t="shared" si="6"/>
        <v>DATASPHERE</v>
      </c>
      <c r="E111" t="s">
        <v>20</v>
      </c>
      <c r="F111">
        <v>3</v>
      </c>
      <c r="G111">
        <v>8</v>
      </c>
      <c r="H111" t="s">
        <v>8</v>
      </c>
      <c r="I111" s="3">
        <v>46028</v>
      </c>
      <c r="J111">
        <f t="shared" si="7"/>
        <v>1</v>
      </c>
      <c r="K111" s="1"/>
    </row>
    <row r="112" spans="1:11" x14ac:dyDescent="0.3">
      <c r="A112">
        <v>112</v>
      </c>
      <c r="B112" t="s">
        <v>19</v>
      </c>
      <c r="C112" t="str">
        <f t="shared" si="5"/>
        <v>datasphere</v>
      </c>
      <c r="D112" t="str">
        <f t="shared" si="6"/>
        <v>DATASPHERE</v>
      </c>
      <c r="E112" t="s">
        <v>17</v>
      </c>
      <c r="F112">
        <v>1</v>
      </c>
      <c r="G112">
        <v>8</v>
      </c>
      <c r="H112" t="s">
        <v>15</v>
      </c>
      <c r="I112" s="3">
        <v>46028</v>
      </c>
      <c r="J112">
        <f t="shared" si="7"/>
        <v>1</v>
      </c>
      <c r="K112" s="1"/>
    </row>
    <row r="113" spans="1:11" x14ac:dyDescent="0.3">
      <c r="A113">
        <v>113</v>
      </c>
      <c r="B113" t="s">
        <v>7</v>
      </c>
      <c r="C113" t="str">
        <f t="shared" si="5"/>
        <v>Insight Corp</v>
      </c>
      <c r="D113" t="str">
        <f t="shared" si="6"/>
        <v>INSIGHT CORP</v>
      </c>
      <c r="E113" t="s">
        <v>14</v>
      </c>
      <c r="F113">
        <v>0</v>
      </c>
      <c r="G113">
        <v>8</v>
      </c>
      <c r="H113" t="s">
        <v>24</v>
      </c>
      <c r="I113" s="3">
        <v>46183</v>
      </c>
      <c r="J113">
        <f t="shared" si="7"/>
        <v>1</v>
      </c>
      <c r="K113" s="1"/>
    </row>
    <row r="114" spans="1:11" x14ac:dyDescent="0.3">
      <c r="A114">
        <v>114</v>
      </c>
      <c r="B114" t="s">
        <v>12</v>
      </c>
      <c r="C114" t="str">
        <f t="shared" si="5"/>
        <v>TechNova</v>
      </c>
      <c r="D114" t="str">
        <f t="shared" si="6"/>
        <v>TECHNOVA</v>
      </c>
      <c r="E114" t="s">
        <v>20</v>
      </c>
      <c r="F114">
        <v>1</v>
      </c>
      <c r="G114">
        <v>6</v>
      </c>
      <c r="H114" t="s">
        <v>18</v>
      </c>
      <c r="I114" s="3">
        <v>46028</v>
      </c>
      <c r="J114">
        <f t="shared" si="7"/>
        <v>1</v>
      </c>
      <c r="K114" s="1"/>
    </row>
    <row r="115" spans="1:11" x14ac:dyDescent="0.3">
      <c r="A115">
        <v>115</v>
      </c>
      <c r="B115" t="s">
        <v>16</v>
      </c>
      <c r="C115" t="str">
        <f t="shared" si="5"/>
        <v>TechNova</v>
      </c>
      <c r="D115" t="str">
        <f t="shared" si="6"/>
        <v>TECHNOVA</v>
      </c>
      <c r="E115" t="s">
        <v>23</v>
      </c>
      <c r="F115">
        <v>0</v>
      </c>
      <c r="G115">
        <v>8</v>
      </c>
      <c r="H115" t="s">
        <v>18</v>
      </c>
      <c r="I115" s="3"/>
      <c r="J115">
        <f t="shared" si="7"/>
        <v>1</v>
      </c>
      <c r="K115" s="1"/>
    </row>
    <row r="116" spans="1:11" x14ac:dyDescent="0.3">
      <c r="A116">
        <v>116</v>
      </c>
      <c r="B116" t="s">
        <v>9</v>
      </c>
      <c r="C116" t="str">
        <f t="shared" si="5"/>
        <v>DataSphere</v>
      </c>
      <c r="D116" t="str">
        <f t="shared" si="6"/>
        <v>DATASPHERE</v>
      </c>
      <c r="E116" t="s">
        <v>17</v>
      </c>
      <c r="F116">
        <v>0</v>
      </c>
      <c r="G116">
        <v>8</v>
      </c>
      <c r="H116" t="s">
        <v>11</v>
      </c>
      <c r="I116" s="3"/>
      <c r="J116">
        <f t="shared" si="7"/>
        <v>1</v>
      </c>
    </row>
    <row r="117" spans="1:11" x14ac:dyDescent="0.3">
      <c r="A117">
        <v>117</v>
      </c>
      <c r="B117" t="s">
        <v>16</v>
      </c>
      <c r="C117" t="str">
        <f t="shared" si="5"/>
        <v>TechNova</v>
      </c>
      <c r="D117" t="str">
        <f t="shared" si="6"/>
        <v>TECHNOVA</v>
      </c>
      <c r="E117" t="s">
        <v>10</v>
      </c>
      <c r="F117">
        <v>3</v>
      </c>
      <c r="G117">
        <v>8</v>
      </c>
      <c r="H117" t="s">
        <v>11</v>
      </c>
      <c r="I117" s="3">
        <v>46183</v>
      </c>
      <c r="J117">
        <f t="shared" si="7"/>
        <v>1</v>
      </c>
    </row>
    <row r="118" spans="1:11" x14ac:dyDescent="0.3">
      <c r="A118">
        <v>118</v>
      </c>
      <c r="B118" t="s">
        <v>7</v>
      </c>
      <c r="C118" t="str">
        <f t="shared" si="5"/>
        <v>Insight Corp</v>
      </c>
      <c r="D118" t="str">
        <f t="shared" si="6"/>
        <v>INSIGHT CORP</v>
      </c>
      <c r="E118" t="s">
        <v>17</v>
      </c>
      <c r="F118">
        <v>1</v>
      </c>
      <c r="G118">
        <v>4.5</v>
      </c>
      <c r="H118" t="s">
        <v>11</v>
      </c>
      <c r="I118" s="3">
        <v>46028</v>
      </c>
      <c r="J118">
        <f t="shared" si="7"/>
        <v>1</v>
      </c>
      <c r="K118" s="1"/>
    </row>
    <row r="119" spans="1:11" x14ac:dyDescent="0.3">
      <c r="A119">
        <v>119</v>
      </c>
      <c r="B119" t="s">
        <v>12</v>
      </c>
      <c r="C119" t="str">
        <f t="shared" si="5"/>
        <v>TechNova</v>
      </c>
      <c r="D119" t="str">
        <f t="shared" si="6"/>
        <v>TECHNOVA</v>
      </c>
      <c r="E119" t="s">
        <v>10</v>
      </c>
      <c r="F119">
        <v>2</v>
      </c>
      <c r="G119">
        <v>4.5</v>
      </c>
      <c r="H119" t="s">
        <v>18</v>
      </c>
      <c r="I119" s="3"/>
      <c r="J119">
        <f t="shared" si="7"/>
        <v>1</v>
      </c>
      <c r="K119" s="1"/>
    </row>
    <row r="120" spans="1:11" x14ac:dyDescent="0.3">
      <c r="A120">
        <v>120</v>
      </c>
      <c r="B120" t="s">
        <v>12</v>
      </c>
      <c r="C120" t="str">
        <f t="shared" si="5"/>
        <v>TechNova</v>
      </c>
      <c r="D120" t="str">
        <f t="shared" si="6"/>
        <v>TECHNOVA</v>
      </c>
      <c r="E120" t="s">
        <v>23</v>
      </c>
      <c r="F120">
        <v>1</v>
      </c>
      <c r="G120">
        <v>4.5</v>
      </c>
      <c r="H120" t="s">
        <v>15</v>
      </c>
      <c r="I120" s="3">
        <v>46143</v>
      </c>
      <c r="J120">
        <f t="shared" si="7"/>
        <v>1</v>
      </c>
    </row>
    <row r="121" spans="1:11" x14ac:dyDescent="0.3">
      <c r="K121" s="1"/>
    </row>
  </sheetData>
  <autoFilter ref="A1:J12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topLeftCell="A8" workbookViewId="0">
      <selection activeCell="F17" sqref="F17"/>
    </sheetView>
  </sheetViews>
  <sheetFormatPr defaultRowHeight="14.4" x14ac:dyDescent="0.3"/>
  <cols>
    <col min="1" max="1" width="9.44140625" customWidth="1"/>
    <col min="2" max="2" width="12.77734375" customWidth="1"/>
    <col min="3" max="4" width="19.109375" customWidth="1"/>
    <col min="5" max="5" width="14.5546875" customWidth="1"/>
    <col min="6" max="6" width="21.6640625" customWidth="1"/>
    <col min="7" max="7" width="24.6640625" customWidth="1"/>
    <col min="8" max="8" width="22" customWidth="1"/>
    <col min="9" max="9" width="16.109375" customWidth="1"/>
  </cols>
  <sheetData>
    <row r="1" spans="1:8" ht="18" x14ac:dyDescent="0.35">
      <c r="A1" s="8" t="s">
        <v>0</v>
      </c>
      <c r="B1" s="9" t="s">
        <v>1</v>
      </c>
      <c r="C1" s="9" t="s">
        <v>26</v>
      </c>
      <c r="D1" s="9" t="s">
        <v>39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x14ac:dyDescent="0.3">
      <c r="A2" s="5">
        <v>1</v>
      </c>
      <c r="B2" s="4" t="s">
        <v>7</v>
      </c>
      <c r="C2" s="4" t="str">
        <f>UPPER(TRIM(B2))</f>
        <v>INSIGHT CORP</v>
      </c>
      <c r="D2" s="4" t="s">
        <v>23</v>
      </c>
      <c r="E2" s="4">
        <v>3</v>
      </c>
      <c r="F2" s="4">
        <v>8</v>
      </c>
      <c r="G2" s="19" t="s">
        <v>45</v>
      </c>
      <c r="H2" s="7"/>
    </row>
    <row r="3" spans="1:8" x14ac:dyDescent="0.3">
      <c r="A3" s="5">
        <v>2</v>
      </c>
      <c r="B3" s="4" t="s">
        <v>9</v>
      </c>
      <c r="C3" s="4" t="str">
        <f t="shared" ref="C3:C66" si="0">UPPER(TRIM(B3))</f>
        <v>DATASPHERE</v>
      </c>
      <c r="D3" s="4" t="s">
        <v>10</v>
      </c>
      <c r="E3" s="4">
        <v>2</v>
      </c>
      <c r="F3" s="4">
        <v>6</v>
      </c>
      <c r="G3" s="19" t="s">
        <v>46</v>
      </c>
      <c r="H3" s="7">
        <v>46143</v>
      </c>
    </row>
    <row r="4" spans="1:8" x14ac:dyDescent="0.3">
      <c r="A4" s="5">
        <v>3</v>
      </c>
      <c r="B4" s="4" t="s">
        <v>12</v>
      </c>
      <c r="C4" s="4" t="str">
        <f t="shared" si="0"/>
        <v>TECHNOVA</v>
      </c>
      <c r="D4" s="4" t="s">
        <v>13</v>
      </c>
      <c r="E4" s="4">
        <v>1</v>
      </c>
      <c r="F4" s="4">
        <v>8</v>
      </c>
      <c r="G4" s="19" t="s">
        <v>47</v>
      </c>
      <c r="H4" s="7">
        <v>46143</v>
      </c>
    </row>
    <row r="5" spans="1:8" x14ac:dyDescent="0.3">
      <c r="A5" s="5">
        <v>4</v>
      </c>
      <c r="B5" s="4" t="s">
        <v>12</v>
      </c>
      <c r="C5" s="4" t="str">
        <f t="shared" si="0"/>
        <v>TECHNOVA</v>
      </c>
      <c r="D5" s="4" t="s">
        <v>13</v>
      </c>
      <c r="E5" s="4">
        <v>0</v>
      </c>
      <c r="F5" s="4">
        <v>8</v>
      </c>
      <c r="G5" s="19" t="s">
        <v>46</v>
      </c>
      <c r="H5" s="7">
        <v>46143</v>
      </c>
    </row>
    <row r="6" spans="1:8" x14ac:dyDescent="0.3">
      <c r="A6" s="5">
        <v>5</v>
      </c>
      <c r="B6" s="4" t="s">
        <v>12</v>
      </c>
      <c r="C6" s="4" t="str">
        <f t="shared" si="0"/>
        <v>TECHNOVA</v>
      </c>
      <c r="D6" s="4" t="s">
        <v>13</v>
      </c>
      <c r="E6" s="4">
        <v>3</v>
      </c>
      <c r="F6" s="4">
        <v>8</v>
      </c>
      <c r="G6" s="19" t="s">
        <v>48</v>
      </c>
      <c r="H6" s="7">
        <v>46183</v>
      </c>
    </row>
    <row r="7" spans="1:8" x14ac:dyDescent="0.3">
      <c r="A7" s="5">
        <v>6</v>
      </c>
      <c r="B7" s="4" t="s">
        <v>16</v>
      </c>
      <c r="C7" s="4" t="str">
        <f t="shared" si="0"/>
        <v>TECHNOVA</v>
      </c>
      <c r="D7" s="4" t="s">
        <v>13</v>
      </c>
      <c r="E7" s="4">
        <v>1</v>
      </c>
      <c r="F7" s="4">
        <v>8</v>
      </c>
      <c r="G7" s="19" t="s">
        <v>47</v>
      </c>
      <c r="H7" s="7">
        <v>46028</v>
      </c>
    </row>
    <row r="8" spans="1:8" x14ac:dyDescent="0.3">
      <c r="A8" s="5">
        <v>7</v>
      </c>
      <c r="B8" s="4" t="s">
        <v>12</v>
      </c>
      <c r="C8" s="4" t="str">
        <f t="shared" si="0"/>
        <v>TECHNOVA</v>
      </c>
      <c r="D8" s="4" t="s">
        <v>17</v>
      </c>
      <c r="E8" s="4">
        <v>0</v>
      </c>
      <c r="F8" s="4">
        <v>6</v>
      </c>
      <c r="G8" s="19" t="s">
        <v>49</v>
      </c>
      <c r="H8" s="7">
        <v>46183</v>
      </c>
    </row>
    <row r="9" spans="1:8" x14ac:dyDescent="0.3">
      <c r="A9" s="5">
        <v>8</v>
      </c>
      <c r="B9" s="4" t="s">
        <v>7</v>
      </c>
      <c r="C9" s="4" t="str">
        <f t="shared" si="0"/>
        <v>INSIGHT CORP</v>
      </c>
      <c r="D9" s="4" t="s">
        <v>17</v>
      </c>
      <c r="E9" s="4">
        <v>3</v>
      </c>
      <c r="F9" s="4">
        <v>6</v>
      </c>
      <c r="G9" s="19" t="s">
        <v>48</v>
      </c>
      <c r="H9" s="7"/>
    </row>
    <row r="10" spans="1:8" x14ac:dyDescent="0.3">
      <c r="A10" s="5">
        <v>9</v>
      </c>
      <c r="B10" s="4" t="s">
        <v>19</v>
      </c>
      <c r="C10" s="4" t="str">
        <f t="shared" si="0"/>
        <v>DATASPHERE</v>
      </c>
      <c r="D10" s="4" t="s">
        <v>20</v>
      </c>
      <c r="E10" s="4">
        <v>1</v>
      </c>
      <c r="F10" s="4">
        <v>6</v>
      </c>
      <c r="G10" s="19" t="s">
        <v>48</v>
      </c>
      <c r="H10" s="7">
        <v>46183</v>
      </c>
    </row>
    <row r="11" spans="1:8" x14ac:dyDescent="0.3">
      <c r="A11" s="5">
        <v>10</v>
      </c>
      <c r="B11" s="4" t="s">
        <v>19</v>
      </c>
      <c r="C11" s="4" t="str">
        <f t="shared" si="0"/>
        <v>DATASPHERE</v>
      </c>
      <c r="D11" s="4" t="s">
        <v>17</v>
      </c>
      <c r="E11" s="4">
        <v>0</v>
      </c>
      <c r="F11" s="4">
        <v>8</v>
      </c>
      <c r="G11" s="19" t="s">
        <v>48</v>
      </c>
      <c r="H11" s="7"/>
    </row>
    <row r="12" spans="1:8" x14ac:dyDescent="0.3">
      <c r="A12" s="5">
        <v>11</v>
      </c>
      <c r="B12" s="4" t="s">
        <v>19</v>
      </c>
      <c r="C12" s="4" t="str">
        <f t="shared" si="0"/>
        <v>DATASPHERE</v>
      </c>
      <c r="D12" s="4" t="s">
        <v>13</v>
      </c>
      <c r="E12" s="4">
        <v>2</v>
      </c>
      <c r="F12" s="4">
        <v>4.5</v>
      </c>
      <c r="G12" s="19" t="s">
        <v>49</v>
      </c>
      <c r="H12" s="7">
        <v>46028</v>
      </c>
    </row>
    <row r="13" spans="1:8" x14ac:dyDescent="0.3">
      <c r="A13" s="5">
        <v>12</v>
      </c>
      <c r="B13" s="4" t="s">
        <v>16</v>
      </c>
      <c r="C13" s="4" t="str">
        <f t="shared" si="0"/>
        <v>TECHNOVA</v>
      </c>
      <c r="D13" s="4" t="s">
        <v>10</v>
      </c>
      <c r="E13" s="4">
        <v>1</v>
      </c>
      <c r="F13" s="4">
        <v>6</v>
      </c>
      <c r="G13" s="19" t="s">
        <v>46</v>
      </c>
      <c r="H13" s="7">
        <v>46028</v>
      </c>
    </row>
    <row r="14" spans="1:8" x14ac:dyDescent="0.3">
      <c r="A14" s="5">
        <v>13</v>
      </c>
      <c r="B14" s="4" t="s">
        <v>9</v>
      </c>
      <c r="C14" s="4" t="str">
        <f t="shared" si="0"/>
        <v>DATASPHERE</v>
      </c>
      <c r="D14" s="4" t="s">
        <v>13</v>
      </c>
      <c r="E14" s="4">
        <v>1</v>
      </c>
      <c r="F14" s="4">
        <v>6</v>
      </c>
      <c r="G14" s="19" t="s">
        <v>48</v>
      </c>
      <c r="H14" s="7">
        <v>46183</v>
      </c>
    </row>
    <row r="15" spans="1:8" x14ac:dyDescent="0.3">
      <c r="A15" s="5">
        <v>14</v>
      </c>
      <c r="B15" s="4" t="s">
        <v>19</v>
      </c>
      <c r="C15" s="4" t="str">
        <f t="shared" si="0"/>
        <v>DATASPHERE</v>
      </c>
      <c r="D15" s="4" t="s">
        <v>20</v>
      </c>
      <c r="E15" s="4">
        <v>1</v>
      </c>
      <c r="F15" s="4">
        <v>6</v>
      </c>
      <c r="G15" s="19" t="s">
        <v>46</v>
      </c>
      <c r="H15" s="7"/>
    </row>
    <row r="16" spans="1:8" x14ac:dyDescent="0.3">
      <c r="A16" s="5">
        <v>15</v>
      </c>
      <c r="B16" s="4" t="s">
        <v>9</v>
      </c>
      <c r="C16" s="4" t="str">
        <f t="shared" si="0"/>
        <v>DATASPHERE</v>
      </c>
      <c r="D16" s="4" t="s">
        <v>17</v>
      </c>
      <c r="E16" s="4">
        <v>0</v>
      </c>
      <c r="F16" s="4">
        <v>10</v>
      </c>
      <c r="G16" s="19" t="s">
        <v>48</v>
      </c>
      <c r="H16" s="7">
        <v>46143</v>
      </c>
    </row>
    <row r="17" spans="1:8" x14ac:dyDescent="0.3">
      <c r="A17" s="5">
        <v>16</v>
      </c>
      <c r="B17" s="4" t="s">
        <v>12</v>
      </c>
      <c r="C17" s="4" t="str">
        <f t="shared" si="0"/>
        <v>TECHNOVA</v>
      </c>
      <c r="D17" s="4" t="s">
        <v>13</v>
      </c>
      <c r="E17" s="4">
        <v>1</v>
      </c>
      <c r="F17" s="4">
        <v>10</v>
      </c>
      <c r="G17" s="19" t="s">
        <v>46</v>
      </c>
      <c r="H17" s="7">
        <v>46183</v>
      </c>
    </row>
    <row r="18" spans="1:8" x14ac:dyDescent="0.3">
      <c r="A18" s="5">
        <v>17</v>
      </c>
      <c r="B18" s="4" t="s">
        <v>16</v>
      </c>
      <c r="C18" s="4" t="str">
        <f t="shared" si="0"/>
        <v>TECHNOVA</v>
      </c>
      <c r="D18" s="4" t="s">
        <v>23</v>
      </c>
      <c r="E18" s="4">
        <v>0</v>
      </c>
      <c r="F18" s="4">
        <v>8</v>
      </c>
      <c r="G18" s="19" t="s">
        <v>45</v>
      </c>
      <c r="H18" s="7">
        <v>46143</v>
      </c>
    </row>
    <row r="19" spans="1:8" x14ac:dyDescent="0.3">
      <c r="A19" s="5">
        <v>18</v>
      </c>
      <c r="B19" s="4" t="s">
        <v>16</v>
      </c>
      <c r="C19" s="4" t="str">
        <f t="shared" si="0"/>
        <v>TECHNOVA</v>
      </c>
      <c r="D19" s="4" t="s">
        <v>23</v>
      </c>
      <c r="E19" s="4">
        <v>3</v>
      </c>
      <c r="F19" s="4">
        <v>6</v>
      </c>
      <c r="G19" s="19" t="s">
        <v>45</v>
      </c>
      <c r="H19" s="7">
        <v>46143</v>
      </c>
    </row>
    <row r="20" spans="1:8" x14ac:dyDescent="0.3">
      <c r="A20" s="5">
        <v>19</v>
      </c>
      <c r="B20" s="4" t="s">
        <v>16</v>
      </c>
      <c r="C20" s="4" t="str">
        <f t="shared" si="0"/>
        <v>TECHNOVA</v>
      </c>
      <c r="D20" s="4" t="s">
        <v>17</v>
      </c>
      <c r="E20" s="4">
        <v>1</v>
      </c>
      <c r="F20" s="4">
        <v>8</v>
      </c>
      <c r="G20" s="19" t="s">
        <v>49</v>
      </c>
      <c r="H20" s="7">
        <v>46028</v>
      </c>
    </row>
    <row r="21" spans="1:8" x14ac:dyDescent="0.3">
      <c r="A21" s="5">
        <v>20</v>
      </c>
      <c r="B21" s="4" t="s">
        <v>12</v>
      </c>
      <c r="C21" s="4" t="str">
        <f t="shared" si="0"/>
        <v>TECHNOVA</v>
      </c>
      <c r="D21" s="4" t="s">
        <v>10</v>
      </c>
      <c r="E21" s="4">
        <v>1</v>
      </c>
      <c r="F21" s="4">
        <v>8</v>
      </c>
      <c r="G21" s="19" t="s">
        <v>49</v>
      </c>
      <c r="H21" s="7">
        <v>46183</v>
      </c>
    </row>
    <row r="22" spans="1:8" x14ac:dyDescent="0.3">
      <c r="A22" s="5">
        <v>21</v>
      </c>
      <c r="B22" s="4" t="s">
        <v>7</v>
      </c>
      <c r="C22" s="4" t="str">
        <f t="shared" si="0"/>
        <v>INSIGHT CORP</v>
      </c>
      <c r="D22" s="4" t="s">
        <v>13</v>
      </c>
      <c r="E22" s="4">
        <v>3</v>
      </c>
      <c r="F22" s="4">
        <v>10</v>
      </c>
      <c r="G22" s="19" t="s">
        <v>45</v>
      </c>
      <c r="H22" s="7"/>
    </row>
    <row r="23" spans="1:8" x14ac:dyDescent="0.3">
      <c r="A23" s="5">
        <v>22</v>
      </c>
      <c r="B23" s="4" t="s">
        <v>12</v>
      </c>
      <c r="C23" s="4" t="str">
        <f t="shared" si="0"/>
        <v>TECHNOVA</v>
      </c>
      <c r="D23" s="4" t="s">
        <v>13</v>
      </c>
      <c r="E23" s="4">
        <v>2</v>
      </c>
      <c r="F23" s="4">
        <v>6</v>
      </c>
      <c r="G23" s="19" t="s">
        <v>47</v>
      </c>
      <c r="H23" s="7"/>
    </row>
    <row r="24" spans="1:8" x14ac:dyDescent="0.3">
      <c r="A24" s="5">
        <v>23</v>
      </c>
      <c r="B24" s="4" t="s">
        <v>19</v>
      </c>
      <c r="C24" s="4" t="str">
        <f t="shared" si="0"/>
        <v>DATASPHERE</v>
      </c>
      <c r="D24" s="4" t="s">
        <v>10</v>
      </c>
      <c r="E24" s="4">
        <v>0</v>
      </c>
      <c r="F24" s="4">
        <v>8</v>
      </c>
      <c r="G24" s="19" t="s">
        <v>49</v>
      </c>
      <c r="H24" s="7">
        <v>46028</v>
      </c>
    </row>
    <row r="25" spans="1:8" x14ac:dyDescent="0.3">
      <c r="A25" s="5">
        <v>24</v>
      </c>
      <c r="B25" s="4" t="s">
        <v>16</v>
      </c>
      <c r="C25" s="4" t="str">
        <f t="shared" si="0"/>
        <v>TECHNOVA</v>
      </c>
      <c r="D25" s="4" t="s">
        <v>13</v>
      </c>
      <c r="E25" s="4">
        <v>2</v>
      </c>
      <c r="F25" s="4">
        <v>6</v>
      </c>
      <c r="G25" s="19" t="s">
        <v>46</v>
      </c>
      <c r="H25" s="7"/>
    </row>
    <row r="26" spans="1:8" x14ac:dyDescent="0.3">
      <c r="A26" s="5">
        <v>25</v>
      </c>
      <c r="B26" s="4" t="s">
        <v>12</v>
      </c>
      <c r="C26" s="4" t="str">
        <f t="shared" si="0"/>
        <v>TECHNOVA</v>
      </c>
      <c r="D26" s="4" t="s">
        <v>20</v>
      </c>
      <c r="E26" s="4">
        <v>3</v>
      </c>
      <c r="F26" s="4">
        <v>10</v>
      </c>
      <c r="G26" s="19" t="s">
        <v>48</v>
      </c>
      <c r="H26" s="7">
        <v>46028</v>
      </c>
    </row>
    <row r="27" spans="1:8" x14ac:dyDescent="0.3">
      <c r="A27" s="5">
        <v>26</v>
      </c>
      <c r="B27" s="4" t="s">
        <v>12</v>
      </c>
      <c r="C27" s="4" t="str">
        <f t="shared" si="0"/>
        <v>TECHNOVA</v>
      </c>
      <c r="D27" s="4" t="s">
        <v>10</v>
      </c>
      <c r="E27" s="4">
        <v>1</v>
      </c>
      <c r="F27" s="4">
        <v>4.5</v>
      </c>
      <c r="G27" s="19" t="s">
        <v>49</v>
      </c>
      <c r="H27" s="7">
        <v>46183</v>
      </c>
    </row>
    <row r="28" spans="1:8" x14ac:dyDescent="0.3">
      <c r="A28" s="5">
        <v>27</v>
      </c>
      <c r="B28" s="4" t="s">
        <v>21</v>
      </c>
      <c r="C28" s="4" t="str">
        <f t="shared" si="0"/>
        <v>AIWORKS</v>
      </c>
      <c r="D28" s="4" t="s">
        <v>13</v>
      </c>
      <c r="E28" s="4">
        <v>3</v>
      </c>
      <c r="F28" s="4">
        <v>10</v>
      </c>
      <c r="G28" s="19" t="s">
        <v>46</v>
      </c>
      <c r="H28" s="7">
        <v>46183</v>
      </c>
    </row>
    <row r="29" spans="1:8" x14ac:dyDescent="0.3">
      <c r="A29" s="5">
        <v>28</v>
      </c>
      <c r="B29" s="4" t="s">
        <v>21</v>
      </c>
      <c r="C29" s="4" t="str">
        <f t="shared" si="0"/>
        <v>AIWORKS</v>
      </c>
      <c r="D29" s="4" t="s">
        <v>17</v>
      </c>
      <c r="E29" s="4">
        <v>0</v>
      </c>
      <c r="F29" s="4">
        <v>8</v>
      </c>
      <c r="G29" s="19" t="s">
        <v>49</v>
      </c>
      <c r="H29" s="7">
        <v>46183</v>
      </c>
    </row>
    <row r="30" spans="1:8" x14ac:dyDescent="0.3">
      <c r="A30" s="5">
        <v>29</v>
      </c>
      <c r="B30" s="4" t="s">
        <v>16</v>
      </c>
      <c r="C30" s="4" t="str">
        <f t="shared" si="0"/>
        <v>TECHNOVA</v>
      </c>
      <c r="D30" s="4" t="s">
        <v>20</v>
      </c>
      <c r="E30" s="4">
        <v>0</v>
      </c>
      <c r="F30" s="4">
        <v>10</v>
      </c>
      <c r="G30" s="19" t="s">
        <v>46</v>
      </c>
      <c r="H30" s="7">
        <v>46183</v>
      </c>
    </row>
    <row r="31" spans="1:8" x14ac:dyDescent="0.3">
      <c r="A31" s="5">
        <v>30</v>
      </c>
      <c r="B31" s="4" t="s">
        <v>12</v>
      </c>
      <c r="C31" s="4" t="str">
        <f t="shared" si="0"/>
        <v>TECHNOVA</v>
      </c>
      <c r="D31" s="4" t="s">
        <v>20</v>
      </c>
      <c r="E31" s="4">
        <v>1</v>
      </c>
      <c r="F31" s="4">
        <v>8</v>
      </c>
      <c r="G31" s="19" t="s">
        <v>49</v>
      </c>
      <c r="H31" s="7">
        <v>46183</v>
      </c>
    </row>
    <row r="32" spans="1:8" x14ac:dyDescent="0.3">
      <c r="A32" s="5">
        <v>31</v>
      </c>
      <c r="B32" s="4" t="s">
        <v>7</v>
      </c>
      <c r="C32" s="4" t="str">
        <f t="shared" si="0"/>
        <v>INSIGHT CORP</v>
      </c>
      <c r="D32" s="4" t="s">
        <v>13</v>
      </c>
      <c r="E32" s="4">
        <v>0</v>
      </c>
      <c r="F32" s="4">
        <v>8</v>
      </c>
      <c r="G32" s="19" t="s">
        <v>46</v>
      </c>
      <c r="H32" s="7"/>
    </row>
    <row r="33" spans="1:8" x14ac:dyDescent="0.3">
      <c r="A33" s="5">
        <v>32</v>
      </c>
      <c r="B33" s="4" t="s">
        <v>21</v>
      </c>
      <c r="C33" s="4" t="str">
        <f t="shared" si="0"/>
        <v>AIWORKS</v>
      </c>
      <c r="D33" s="4" t="s">
        <v>13</v>
      </c>
      <c r="E33" s="4">
        <v>1</v>
      </c>
      <c r="F33" s="4">
        <v>6</v>
      </c>
      <c r="G33" s="19" t="s">
        <v>48</v>
      </c>
      <c r="H33" s="7">
        <v>46143</v>
      </c>
    </row>
    <row r="34" spans="1:8" x14ac:dyDescent="0.3">
      <c r="A34" s="5">
        <v>33</v>
      </c>
      <c r="B34" s="4" t="s">
        <v>9</v>
      </c>
      <c r="C34" s="4" t="str">
        <f t="shared" si="0"/>
        <v>DATASPHERE</v>
      </c>
      <c r="D34" s="4" t="s">
        <v>20</v>
      </c>
      <c r="E34" s="4">
        <v>2</v>
      </c>
      <c r="F34" s="4">
        <v>8</v>
      </c>
      <c r="G34" s="19" t="s">
        <v>47</v>
      </c>
      <c r="H34" s="7"/>
    </row>
    <row r="35" spans="1:8" x14ac:dyDescent="0.3">
      <c r="A35" s="5">
        <v>34</v>
      </c>
      <c r="B35" s="4" t="s">
        <v>12</v>
      </c>
      <c r="C35" s="4" t="str">
        <f t="shared" si="0"/>
        <v>TECHNOVA</v>
      </c>
      <c r="D35" s="4" t="s">
        <v>23</v>
      </c>
      <c r="E35" s="4">
        <v>1</v>
      </c>
      <c r="F35" s="4">
        <v>8</v>
      </c>
      <c r="G35" s="19" t="s">
        <v>45</v>
      </c>
      <c r="H35" s="7">
        <v>46183</v>
      </c>
    </row>
    <row r="36" spans="1:8" x14ac:dyDescent="0.3">
      <c r="A36" s="5">
        <v>35</v>
      </c>
      <c r="B36" s="4" t="s">
        <v>19</v>
      </c>
      <c r="C36" s="4" t="str">
        <f t="shared" si="0"/>
        <v>DATASPHERE</v>
      </c>
      <c r="D36" s="4" t="s">
        <v>13</v>
      </c>
      <c r="E36" s="4">
        <v>2</v>
      </c>
      <c r="F36" s="4">
        <v>8</v>
      </c>
      <c r="G36" s="19" t="s">
        <v>49</v>
      </c>
      <c r="H36" s="7">
        <v>46028</v>
      </c>
    </row>
    <row r="37" spans="1:8" x14ac:dyDescent="0.3">
      <c r="A37" s="5">
        <v>36</v>
      </c>
      <c r="B37" s="4" t="s">
        <v>16</v>
      </c>
      <c r="C37" s="4" t="str">
        <f t="shared" si="0"/>
        <v>TECHNOVA</v>
      </c>
      <c r="D37" s="4" t="s">
        <v>23</v>
      </c>
      <c r="E37" s="4">
        <v>2</v>
      </c>
      <c r="F37" s="4">
        <v>8</v>
      </c>
      <c r="G37" s="19" t="s">
        <v>45</v>
      </c>
      <c r="H37" s="7"/>
    </row>
    <row r="38" spans="1:8" x14ac:dyDescent="0.3">
      <c r="A38" s="5">
        <v>37</v>
      </c>
      <c r="B38" s="4" t="s">
        <v>9</v>
      </c>
      <c r="C38" s="4" t="str">
        <f t="shared" si="0"/>
        <v>DATASPHERE</v>
      </c>
      <c r="D38" s="4" t="s">
        <v>13</v>
      </c>
      <c r="E38" s="4">
        <v>3</v>
      </c>
      <c r="F38" s="4">
        <v>8</v>
      </c>
      <c r="G38" s="19" t="s">
        <v>47</v>
      </c>
      <c r="H38" s="7">
        <v>46028</v>
      </c>
    </row>
    <row r="39" spans="1:8" x14ac:dyDescent="0.3">
      <c r="A39" s="5">
        <v>38</v>
      </c>
      <c r="B39" s="4" t="s">
        <v>7</v>
      </c>
      <c r="C39" s="4" t="str">
        <f t="shared" si="0"/>
        <v>INSIGHT CORP</v>
      </c>
      <c r="D39" s="4" t="s">
        <v>17</v>
      </c>
      <c r="E39" s="4">
        <v>2</v>
      </c>
      <c r="F39" s="4">
        <v>8</v>
      </c>
      <c r="G39" s="19" t="s">
        <v>49</v>
      </c>
      <c r="H39" s="7">
        <v>46143</v>
      </c>
    </row>
    <row r="40" spans="1:8" x14ac:dyDescent="0.3">
      <c r="A40" s="5">
        <v>39</v>
      </c>
      <c r="B40" s="4" t="s">
        <v>16</v>
      </c>
      <c r="C40" s="4" t="str">
        <f t="shared" si="0"/>
        <v>TECHNOVA</v>
      </c>
      <c r="D40" s="4" t="s">
        <v>17</v>
      </c>
      <c r="E40" s="4">
        <v>2</v>
      </c>
      <c r="F40" s="4">
        <v>4.5</v>
      </c>
      <c r="G40" s="19" t="s">
        <v>45</v>
      </c>
      <c r="H40" s="7"/>
    </row>
    <row r="41" spans="1:8" x14ac:dyDescent="0.3">
      <c r="A41" s="5">
        <v>40</v>
      </c>
      <c r="B41" s="4" t="s">
        <v>7</v>
      </c>
      <c r="C41" s="4" t="str">
        <f t="shared" si="0"/>
        <v>INSIGHT CORP</v>
      </c>
      <c r="D41" s="4" t="s">
        <v>10</v>
      </c>
      <c r="E41" s="4">
        <v>1</v>
      </c>
      <c r="F41" s="4">
        <v>8</v>
      </c>
      <c r="G41" s="19" t="s">
        <v>45</v>
      </c>
      <c r="H41" s="7">
        <v>46183</v>
      </c>
    </row>
    <row r="42" spans="1:8" x14ac:dyDescent="0.3">
      <c r="A42" s="5">
        <v>41</v>
      </c>
      <c r="B42" s="4" t="s">
        <v>7</v>
      </c>
      <c r="C42" s="4" t="str">
        <f t="shared" si="0"/>
        <v>INSIGHT CORP</v>
      </c>
      <c r="D42" s="4" t="s">
        <v>10</v>
      </c>
      <c r="E42" s="4">
        <v>3</v>
      </c>
      <c r="F42" s="4">
        <v>8</v>
      </c>
      <c r="G42" s="19" t="s">
        <v>49</v>
      </c>
      <c r="H42" s="7"/>
    </row>
    <row r="43" spans="1:8" x14ac:dyDescent="0.3">
      <c r="A43" s="5">
        <v>42</v>
      </c>
      <c r="B43" s="4" t="s">
        <v>21</v>
      </c>
      <c r="C43" s="4" t="str">
        <f t="shared" si="0"/>
        <v>AIWORKS</v>
      </c>
      <c r="D43" s="4" t="s">
        <v>10</v>
      </c>
      <c r="E43" s="4">
        <v>1</v>
      </c>
      <c r="F43" s="4">
        <v>8</v>
      </c>
      <c r="G43" s="19" t="s">
        <v>48</v>
      </c>
      <c r="H43" s="7"/>
    </row>
    <row r="44" spans="1:8" x14ac:dyDescent="0.3">
      <c r="A44" s="5">
        <v>43</v>
      </c>
      <c r="B44" s="4" t="s">
        <v>21</v>
      </c>
      <c r="C44" s="4" t="str">
        <f t="shared" si="0"/>
        <v>AIWORKS</v>
      </c>
      <c r="D44" s="4" t="s">
        <v>10</v>
      </c>
      <c r="E44" s="4">
        <v>2</v>
      </c>
      <c r="F44" s="4">
        <v>10</v>
      </c>
      <c r="G44" s="19" t="s">
        <v>45</v>
      </c>
      <c r="H44" s="7">
        <v>46183</v>
      </c>
    </row>
    <row r="45" spans="1:8" x14ac:dyDescent="0.3">
      <c r="A45" s="5">
        <v>44</v>
      </c>
      <c r="B45" s="4" t="s">
        <v>19</v>
      </c>
      <c r="C45" s="4" t="str">
        <f t="shared" si="0"/>
        <v>DATASPHERE</v>
      </c>
      <c r="D45" s="4" t="s">
        <v>13</v>
      </c>
      <c r="E45" s="4">
        <v>3</v>
      </c>
      <c r="F45" s="4">
        <v>8</v>
      </c>
      <c r="G45" s="19" t="s">
        <v>48</v>
      </c>
      <c r="H45" s="7">
        <v>46183</v>
      </c>
    </row>
    <row r="46" spans="1:8" x14ac:dyDescent="0.3">
      <c r="A46" s="5">
        <v>45</v>
      </c>
      <c r="B46" s="4" t="s">
        <v>16</v>
      </c>
      <c r="C46" s="4" t="str">
        <f t="shared" si="0"/>
        <v>TECHNOVA</v>
      </c>
      <c r="D46" s="4" t="s">
        <v>13</v>
      </c>
      <c r="E46" s="4">
        <v>0</v>
      </c>
      <c r="F46" s="4">
        <v>8</v>
      </c>
      <c r="G46" s="19" t="s">
        <v>48</v>
      </c>
      <c r="H46" s="7">
        <v>46028</v>
      </c>
    </row>
    <row r="47" spans="1:8" x14ac:dyDescent="0.3">
      <c r="A47" s="5">
        <v>46</v>
      </c>
      <c r="B47" s="4" t="s">
        <v>7</v>
      </c>
      <c r="C47" s="4" t="str">
        <f t="shared" si="0"/>
        <v>INSIGHT CORP</v>
      </c>
      <c r="D47" s="4" t="s">
        <v>17</v>
      </c>
      <c r="E47" s="4">
        <v>1</v>
      </c>
      <c r="F47" s="4">
        <v>6</v>
      </c>
      <c r="G47" s="19" t="s">
        <v>47</v>
      </c>
      <c r="H47" s="7">
        <v>46183</v>
      </c>
    </row>
    <row r="48" spans="1:8" x14ac:dyDescent="0.3">
      <c r="A48" s="5">
        <v>47</v>
      </c>
      <c r="B48" s="4" t="s">
        <v>9</v>
      </c>
      <c r="C48" s="4" t="str">
        <f t="shared" si="0"/>
        <v>DATASPHERE</v>
      </c>
      <c r="D48" s="4" t="s">
        <v>13</v>
      </c>
      <c r="E48" s="4">
        <v>1</v>
      </c>
      <c r="F48" s="4">
        <v>8</v>
      </c>
      <c r="G48" s="19" t="s">
        <v>45</v>
      </c>
      <c r="H48" s="7">
        <v>46143</v>
      </c>
    </row>
    <row r="49" spans="1:8" x14ac:dyDescent="0.3">
      <c r="A49" s="5">
        <v>48</v>
      </c>
      <c r="B49" s="4" t="s">
        <v>12</v>
      </c>
      <c r="C49" s="4" t="str">
        <f t="shared" si="0"/>
        <v>TECHNOVA</v>
      </c>
      <c r="D49" s="4" t="s">
        <v>23</v>
      </c>
      <c r="E49" s="4">
        <v>1</v>
      </c>
      <c r="F49" s="4">
        <v>4.5</v>
      </c>
      <c r="G49" s="19" t="s">
        <v>48</v>
      </c>
      <c r="H49" s="7">
        <v>46143</v>
      </c>
    </row>
    <row r="50" spans="1:8" x14ac:dyDescent="0.3">
      <c r="A50" s="5">
        <v>49</v>
      </c>
      <c r="B50" s="4" t="s">
        <v>19</v>
      </c>
      <c r="C50" s="4" t="str">
        <f t="shared" si="0"/>
        <v>DATASPHERE</v>
      </c>
      <c r="D50" s="4" t="s">
        <v>13</v>
      </c>
      <c r="E50" s="4">
        <v>1</v>
      </c>
      <c r="F50" s="4">
        <v>10</v>
      </c>
      <c r="G50" s="19" t="s">
        <v>49</v>
      </c>
      <c r="H50" s="7">
        <v>46143</v>
      </c>
    </row>
    <row r="51" spans="1:8" x14ac:dyDescent="0.3">
      <c r="A51" s="5">
        <v>51</v>
      </c>
      <c r="B51" s="4" t="s">
        <v>16</v>
      </c>
      <c r="C51" s="4" t="str">
        <f t="shared" si="0"/>
        <v>TECHNOVA</v>
      </c>
      <c r="D51" s="4" t="s">
        <v>13</v>
      </c>
      <c r="E51" s="4">
        <v>0</v>
      </c>
      <c r="F51" s="4">
        <v>4.5</v>
      </c>
      <c r="G51" s="19" t="s">
        <v>49</v>
      </c>
      <c r="H51" s="7">
        <v>46028</v>
      </c>
    </row>
    <row r="52" spans="1:8" x14ac:dyDescent="0.3">
      <c r="A52" s="5">
        <v>52</v>
      </c>
      <c r="B52" s="4" t="s">
        <v>9</v>
      </c>
      <c r="C52" s="4" t="str">
        <f t="shared" si="0"/>
        <v>DATASPHERE</v>
      </c>
      <c r="D52" s="4" t="s">
        <v>20</v>
      </c>
      <c r="E52" s="4">
        <v>3</v>
      </c>
      <c r="F52" s="4">
        <v>6</v>
      </c>
      <c r="G52" s="19" t="s">
        <v>47</v>
      </c>
      <c r="H52" s="7"/>
    </row>
    <row r="53" spans="1:8" x14ac:dyDescent="0.3">
      <c r="A53" s="5">
        <v>53</v>
      </c>
      <c r="B53" s="4" t="s">
        <v>12</v>
      </c>
      <c r="C53" s="4" t="str">
        <f t="shared" si="0"/>
        <v>TECHNOVA</v>
      </c>
      <c r="D53" s="4" t="s">
        <v>17</v>
      </c>
      <c r="E53" s="4">
        <v>3</v>
      </c>
      <c r="F53" s="4">
        <v>8</v>
      </c>
      <c r="G53" s="19" t="s">
        <v>47</v>
      </c>
      <c r="H53" s="7"/>
    </row>
    <row r="54" spans="1:8" x14ac:dyDescent="0.3">
      <c r="A54" s="5">
        <v>54</v>
      </c>
      <c r="B54" s="4" t="s">
        <v>16</v>
      </c>
      <c r="C54" s="4" t="str">
        <f t="shared" si="0"/>
        <v>TECHNOVA</v>
      </c>
      <c r="D54" s="4" t="s">
        <v>20</v>
      </c>
      <c r="E54" s="4">
        <v>1</v>
      </c>
      <c r="F54" s="4">
        <v>6</v>
      </c>
      <c r="G54" s="19" t="s">
        <v>49</v>
      </c>
      <c r="H54" s="7">
        <v>46028</v>
      </c>
    </row>
    <row r="55" spans="1:8" x14ac:dyDescent="0.3">
      <c r="A55" s="5">
        <v>55</v>
      </c>
      <c r="B55" s="4" t="s">
        <v>7</v>
      </c>
      <c r="C55" s="4" t="str">
        <f t="shared" si="0"/>
        <v>INSIGHT CORP</v>
      </c>
      <c r="D55" s="4" t="s">
        <v>13</v>
      </c>
      <c r="E55" s="4">
        <v>0</v>
      </c>
      <c r="F55" s="4">
        <v>6</v>
      </c>
      <c r="G55" s="19" t="s">
        <v>46</v>
      </c>
      <c r="H55" s="7">
        <v>46143</v>
      </c>
    </row>
    <row r="56" spans="1:8" x14ac:dyDescent="0.3">
      <c r="A56" s="5">
        <v>56</v>
      </c>
      <c r="B56" s="4" t="s">
        <v>16</v>
      </c>
      <c r="C56" s="4" t="str">
        <f t="shared" si="0"/>
        <v>TECHNOVA</v>
      </c>
      <c r="D56" s="4" t="s">
        <v>10</v>
      </c>
      <c r="E56" s="4">
        <v>1</v>
      </c>
      <c r="F56" s="4">
        <v>6</v>
      </c>
      <c r="G56" s="19" t="s">
        <v>47</v>
      </c>
      <c r="H56" s="7">
        <v>46028</v>
      </c>
    </row>
    <row r="57" spans="1:8" x14ac:dyDescent="0.3">
      <c r="A57" s="5">
        <v>57</v>
      </c>
      <c r="B57" s="4" t="s">
        <v>19</v>
      </c>
      <c r="C57" s="4" t="str">
        <f t="shared" si="0"/>
        <v>DATASPHERE</v>
      </c>
      <c r="D57" s="4" t="s">
        <v>10</v>
      </c>
      <c r="E57" s="4">
        <v>1</v>
      </c>
      <c r="F57" s="4">
        <v>10</v>
      </c>
      <c r="G57" s="19" t="s">
        <v>46</v>
      </c>
      <c r="H57" s="7">
        <v>46143</v>
      </c>
    </row>
    <row r="58" spans="1:8" x14ac:dyDescent="0.3">
      <c r="A58" s="5">
        <v>58</v>
      </c>
      <c r="B58" s="4" t="s">
        <v>9</v>
      </c>
      <c r="C58" s="4" t="str">
        <f t="shared" si="0"/>
        <v>DATASPHERE</v>
      </c>
      <c r="D58" s="4" t="s">
        <v>10</v>
      </c>
      <c r="E58" s="4">
        <v>3</v>
      </c>
      <c r="F58" s="4">
        <v>8</v>
      </c>
      <c r="G58" s="19" t="s">
        <v>47</v>
      </c>
      <c r="H58" s="7">
        <v>46143</v>
      </c>
    </row>
    <row r="59" spans="1:8" x14ac:dyDescent="0.3">
      <c r="A59" s="5">
        <v>59</v>
      </c>
      <c r="B59" s="4" t="s">
        <v>21</v>
      </c>
      <c r="C59" s="4" t="str">
        <f t="shared" si="0"/>
        <v>AIWORKS</v>
      </c>
      <c r="D59" s="4" t="s">
        <v>20</v>
      </c>
      <c r="E59" s="4">
        <v>3</v>
      </c>
      <c r="F59" s="4">
        <v>8</v>
      </c>
      <c r="G59" s="19" t="s">
        <v>48</v>
      </c>
      <c r="H59" s="7">
        <v>46183</v>
      </c>
    </row>
    <row r="60" spans="1:8" x14ac:dyDescent="0.3">
      <c r="A60" s="5">
        <v>60</v>
      </c>
      <c r="B60" s="4" t="s">
        <v>9</v>
      </c>
      <c r="C60" s="4" t="str">
        <f t="shared" si="0"/>
        <v>DATASPHERE</v>
      </c>
      <c r="D60" s="4" t="s">
        <v>17</v>
      </c>
      <c r="E60" s="4">
        <v>2</v>
      </c>
      <c r="F60" s="4">
        <v>8</v>
      </c>
      <c r="G60" s="19" t="s">
        <v>47</v>
      </c>
      <c r="H60" s="7">
        <v>46143</v>
      </c>
    </row>
    <row r="61" spans="1:8" x14ac:dyDescent="0.3">
      <c r="A61" s="5">
        <v>61</v>
      </c>
      <c r="B61" s="4" t="s">
        <v>21</v>
      </c>
      <c r="C61" s="4" t="str">
        <f t="shared" si="0"/>
        <v>AIWORKS</v>
      </c>
      <c r="D61" s="4" t="s">
        <v>20</v>
      </c>
      <c r="E61" s="4">
        <v>1</v>
      </c>
      <c r="F61" s="4">
        <v>10</v>
      </c>
      <c r="G61" s="19" t="s">
        <v>49</v>
      </c>
      <c r="H61" s="7">
        <v>46028</v>
      </c>
    </row>
    <row r="62" spans="1:8" x14ac:dyDescent="0.3">
      <c r="A62" s="5">
        <v>62</v>
      </c>
      <c r="B62" s="4" t="s">
        <v>21</v>
      </c>
      <c r="C62" s="4" t="str">
        <f t="shared" si="0"/>
        <v>AIWORKS</v>
      </c>
      <c r="D62" s="4" t="s">
        <v>10</v>
      </c>
      <c r="E62" s="4">
        <v>0</v>
      </c>
      <c r="F62" s="4">
        <v>6</v>
      </c>
      <c r="G62" s="19" t="s">
        <v>45</v>
      </c>
      <c r="H62" s="7">
        <v>46183</v>
      </c>
    </row>
    <row r="63" spans="1:8" x14ac:dyDescent="0.3">
      <c r="A63" s="5">
        <v>63</v>
      </c>
      <c r="B63" s="4" t="s">
        <v>7</v>
      </c>
      <c r="C63" s="4" t="str">
        <f t="shared" si="0"/>
        <v>INSIGHT CORP</v>
      </c>
      <c r="D63" s="4" t="s">
        <v>13</v>
      </c>
      <c r="E63" s="4">
        <v>3</v>
      </c>
      <c r="F63" s="4">
        <v>8</v>
      </c>
      <c r="G63" s="19" t="s">
        <v>49</v>
      </c>
      <c r="H63" s="7">
        <v>46183</v>
      </c>
    </row>
    <row r="64" spans="1:8" x14ac:dyDescent="0.3">
      <c r="A64" s="5">
        <v>64</v>
      </c>
      <c r="B64" s="4" t="s">
        <v>7</v>
      </c>
      <c r="C64" s="4" t="str">
        <f t="shared" si="0"/>
        <v>INSIGHT CORP</v>
      </c>
      <c r="D64" s="4" t="s">
        <v>23</v>
      </c>
      <c r="E64" s="4">
        <v>2</v>
      </c>
      <c r="F64" s="4">
        <v>8</v>
      </c>
      <c r="G64" s="19" t="s">
        <v>47</v>
      </c>
      <c r="H64" s="7">
        <v>46028</v>
      </c>
    </row>
    <row r="65" spans="1:8" x14ac:dyDescent="0.3">
      <c r="A65" s="5">
        <v>65</v>
      </c>
      <c r="B65" s="4" t="s">
        <v>19</v>
      </c>
      <c r="C65" s="4" t="str">
        <f t="shared" si="0"/>
        <v>DATASPHERE</v>
      </c>
      <c r="D65" s="4" t="s">
        <v>13</v>
      </c>
      <c r="E65" s="4">
        <v>1</v>
      </c>
      <c r="F65" s="4">
        <v>8</v>
      </c>
      <c r="G65" s="19" t="s">
        <v>47</v>
      </c>
      <c r="H65" s="7">
        <v>46028</v>
      </c>
    </row>
    <row r="66" spans="1:8" x14ac:dyDescent="0.3">
      <c r="A66" s="5">
        <v>66</v>
      </c>
      <c r="B66" s="4" t="s">
        <v>21</v>
      </c>
      <c r="C66" s="4" t="str">
        <f t="shared" si="0"/>
        <v>AIWORKS</v>
      </c>
      <c r="D66" s="4" t="s">
        <v>10</v>
      </c>
      <c r="E66" s="4">
        <v>1</v>
      </c>
      <c r="F66" s="4">
        <v>8</v>
      </c>
      <c r="G66" s="19" t="s">
        <v>47</v>
      </c>
      <c r="H66" s="7">
        <v>46183</v>
      </c>
    </row>
    <row r="67" spans="1:8" x14ac:dyDescent="0.3">
      <c r="A67" s="5">
        <v>67</v>
      </c>
      <c r="B67" s="4" t="s">
        <v>19</v>
      </c>
      <c r="C67" s="4" t="str">
        <f t="shared" ref="C67:C120" si="1">UPPER(TRIM(B67))</f>
        <v>DATASPHERE</v>
      </c>
      <c r="D67" s="4" t="s">
        <v>13</v>
      </c>
      <c r="E67" s="4">
        <v>0</v>
      </c>
      <c r="F67" s="4">
        <v>10</v>
      </c>
      <c r="G67" s="19" t="s">
        <v>48</v>
      </c>
      <c r="H67" s="7"/>
    </row>
    <row r="68" spans="1:8" x14ac:dyDescent="0.3">
      <c r="A68" s="5">
        <v>68</v>
      </c>
      <c r="B68" s="4" t="s">
        <v>19</v>
      </c>
      <c r="C68" s="4" t="str">
        <f t="shared" si="1"/>
        <v>DATASPHERE</v>
      </c>
      <c r="D68" s="4" t="s">
        <v>13</v>
      </c>
      <c r="E68" s="4">
        <v>1</v>
      </c>
      <c r="F68" s="4">
        <v>8</v>
      </c>
      <c r="G68" s="19" t="s">
        <v>46</v>
      </c>
      <c r="H68" s="7"/>
    </row>
    <row r="69" spans="1:8" x14ac:dyDescent="0.3">
      <c r="A69" s="5">
        <v>69</v>
      </c>
      <c r="B69" s="4" t="s">
        <v>12</v>
      </c>
      <c r="C69" s="4" t="str">
        <f t="shared" si="1"/>
        <v>TECHNOVA</v>
      </c>
      <c r="D69" s="4" t="s">
        <v>20</v>
      </c>
      <c r="E69" s="4">
        <v>3</v>
      </c>
      <c r="F69" s="4">
        <v>10</v>
      </c>
      <c r="G69" s="19" t="s">
        <v>49</v>
      </c>
      <c r="H69" s="7"/>
    </row>
    <row r="70" spans="1:8" x14ac:dyDescent="0.3">
      <c r="A70" s="5">
        <v>70</v>
      </c>
      <c r="B70" s="4" t="s">
        <v>19</v>
      </c>
      <c r="C70" s="4" t="str">
        <f t="shared" si="1"/>
        <v>DATASPHERE</v>
      </c>
      <c r="D70" s="4" t="s">
        <v>10</v>
      </c>
      <c r="E70" s="4">
        <v>2</v>
      </c>
      <c r="F70" s="4">
        <v>10</v>
      </c>
      <c r="G70" s="19" t="s">
        <v>47</v>
      </c>
      <c r="H70" s="7"/>
    </row>
    <row r="71" spans="1:8" x14ac:dyDescent="0.3">
      <c r="A71" s="5">
        <v>71</v>
      </c>
      <c r="B71" s="4" t="s">
        <v>16</v>
      </c>
      <c r="C71" s="4" t="str">
        <f t="shared" si="1"/>
        <v>TECHNOVA</v>
      </c>
      <c r="D71" s="4" t="s">
        <v>10</v>
      </c>
      <c r="E71" s="4">
        <v>1</v>
      </c>
      <c r="F71" s="4">
        <v>8</v>
      </c>
      <c r="G71" s="19" t="s">
        <v>46</v>
      </c>
      <c r="H71" s="7">
        <v>46143</v>
      </c>
    </row>
    <row r="72" spans="1:8" x14ac:dyDescent="0.3">
      <c r="A72" s="5">
        <v>72</v>
      </c>
      <c r="B72" s="4" t="s">
        <v>16</v>
      </c>
      <c r="C72" s="4" t="str">
        <f t="shared" si="1"/>
        <v>TECHNOVA</v>
      </c>
      <c r="D72" s="4" t="s">
        <v>23</v>
      </c>
      <c r="E72" s="4">
        <v>1</v>
      </c>
      <c r="F72" s="4">
        <v>10</v>
      </c>
      <c r="G72" s="19" t="s">
        <v>48</v>
      </c>
      <c r="H72" s="7">
        <v>46028</v>
      </c>
    </row>
    <row r="73" spans="1:8" x14ac:dyDescent="0.3">
      <c r="A73" s="5">
        <v>73</v>
      </c>
      <c r="B73" s="4" t="s">
        <v>12</v>
      </c>
      <c r="C73" s="4" t="str">
        <f t="shared" si="1"/>
        <v>TECHNOVA</v>
      </c>
      <c r="D73" s="4" t="s">
        <v>17</v>
      </c>
      <c r="E73" s="4">
        <v>1</v>
      </c>
      <c r="F73" s="4">
        <v>6</v>
      </c>
      <c r="G73" s="19" t="s">
        <v>46</v>
      </c>
      <c r="H73" s="7">
        <v>46143</v>
      </c>
    </row>
    <row r="74" spans="1:8" x14ac:dyDescent="0.3">
      <c r="A74" s="5">
        <v>74</v>
      </c>
      <c r="B74" s="4" t="s">
        <v>9</v>
      </c>
      <c r="C74" s="4" t="str">
        <f t="shared" si="1"/>
        <v>DATASPHERE</v>
      </c>
      <c r="D74" s="4" t="s">
        <v>10</v>
      </c>
      <c r="E74" s="4">
        <v>1</v>
      </c>
      <c r="F74" s="4">
        <v>6</v>
      </c>
      <c r="G74" s="19" t="s">
        <v>48</v>
      </c>
      <c r="H74" s="7"/>
    </row>
    <row r="75" spans="1:8" x14ac:dyDescent="0.3">
      <c r="A75" s="5">
        <v>75</v>
      </c>
      <c r="B75" s="4" t="s">
        <v>19</v>
      </c>
      <c r="C75" s="4" t="str">
        <f t="shared" si="1"/>
        <v>DATASPHERE</v>
      </c>
      <c r="D75" s="4" t="s">
        <v>13</v>
      </c>
      <c r="E75" s="4">
        <v>1</v>
      </c>
      <c r="F75" s="4">
        <v>8</v>
      </c>
      <c r="G75" s="19" t="s">
        <v>46</v>
      </c>
      <c r="H75" s="7"/>
    </row>
    <row r="76" spans="1:8" x14ac:dyDescent="0.3">
      <c r="A76" s="5">
        <v>76</v>
      </c>
      <c r="B76" s="4" t="s">
        <v>9</v>
      </c>
      <c r="C76" s="4" t="str">
        <f t="shared" si="1"/>
        <v>DATASPHERE</v>
      </c>
      <c r="D76" s="4" t="s">
        <v>13</v>
      </c>
      <c r="E76" s="4">
        <v>1</v>
      </c>
      <c r="F76" s="4">
        <v>8</v>
      </c>
      <c r="G76" s="19" t="s">
        <v>49</v>
      </c>
      <c r="H76" s="7">
        <v>46143</v>
      </c>
    </row>
    <row r="77" spans="1:8" x14ac:dyDescent="0.3">
      <c r="A77" s="5">
        <v>77</v>
      </c>
      <c r="B77" s="4" t="s">
        <v>7</v>
      </c>
      <c r="C77" s="4" t="str">
        <f t="shared" si="1"/>
        <v>INSIGHT CORP</v>
      </c>
      <c r="D77" s="4" t="s">
        <v>10</v>
      </c>
      <c r="E77" s="4">
        <v>2</v>
      </c>
      <c r="F77" s="4">
        <v>6</v>
      </c>
      <c r="G77" s="19" t="s">
        <v>46</v>
      </c>
      <c r="H77" s="7">
        <v>46143</v>
      </c>
    </row>
    <row r="78" spans="1:8" x14ac:dyDescent="0.3">
      <c r="A78" s="5">
        <v>78</v>
      </c>
      <c r="B78" s="4" t="s">
        <v>9</v>
      </c>
      <c r="C78" s="4" t="str">
        <f t="shared" si="1"/>
        <v>DATASPHERE</v>
      </c>
      <c r="D78" s="4" t="s">
        <v>13</v>
      </c>
      <c r="E78" s="4">
        <v>0</v>
      </c>
      <c r="F78" s="4">
        <v>10</v>
      </c>
      <c r="G78" s="19" t="s">
        <v>49</v>
      </c>
      <c r="H78" s="7">
        <v>46183</v>
      </c>
    </row>
    <row r="79" spans="1:8" x14ac:dyDescent="0.3">
      <c r="A79" s="5">
        <v>79</v>
      </c>
      <c r="B79" s="4" t="s">
        <v>9</v>
      </c>
      <c r="C79" s="4" t="str">
        <f t="shared" si="1"/>
        <v>DATASPHERE</v>
      </c>
      <c r="D79" s="4" t="s">
        <v>23</v>
      </c>
      <c r="E79" s="4">
        <v>1</v>
      </c>
      <c r="F79" s="4">
        <v>8</v>
      </c>
      <c r="G79" s="19" t="s">
        <v>45</v>
      </c>
      <c r="H79" s="7"/>
    </row>
    <row r="80" spans="1:8" x14ac:dyDescent="0.3">
      <c r="A80" s="5">
        <v>80</v>
      </c>
      <c r="B80" s="4" t="s">
        <v>9</v>
      </c>
      <c r="C80" s="4" t="str">
        <f t="shared" si="1"/>
        <v>DATASPHERE</v>
      </c>
      <c r="D80" s="4" t="s">
        <v>23</v>
      </c>
      <c r="E80" s="4">
        <v>1</v>
      </c>
      <c r="F80" s="4">
        <v>10</v>
      </c>
      <c r="G80" s="19" t="s">
        <v>46</v>
      </c>
      <c r="H80" s="7">
        <v>46183</v>
      </c>
    </row>
    <row r="81" spans="1:8" x14ac:dyDescent="0.3">
      <c r="A81" s="5">
        <v>81</v>
      </c>
      <c r="B81" s="4" t="s">
        <v>9</v>
      </c>
      <c r="C81" s="4" t="str">
        <f t="shared" si="1"/>
        <v>DATASPHERE</v>
      </c>
      <c r="D81" s="4" t="s">
        <v>10</v>
      </c>
      <c r="E81" s="4">
        <v>3</v>
      </c>
      <c r="F81" s="4">
        <v>10</v>
      </c>
      <c r="G81" s="19" t="s">
        <v>47</v>
      </c>
      <c r="H81" s="7">
        <v>46183</v>
      </c>
    </row>
    <row r="82" spans="1:8" x14ac:dyDescent="0.3">
      <c r="A82" s="5">
        <v>82</v>
      </c>
      <c r="B82" s="4" t="s">
        <v>9</v>
      </c>
      <c r="C82" s="4" t="str">
        <f t="shared" si="1"/>
        <v>DATASPHERE</v>
      </c>
      <c r="D82" s="4" t="s">
        <v>20</v>
      </c>
      <c r="E82" s="4">
        <v>1</v>
      </c>
      <c r="F82" s="4">
        <v>4.5</v>
      </c>
      <c r="G82" s="19" t="s">
        <v>46</v>
      </c>
      <c r="H82" s="7">
        <v>46143</v>
      </c>
    </row>
    <row r="83" spans="1:8" x14ac:dyDescent="0.3">
      <c r="A83" s="5">
        <v>83</v>
      </c>
      <c r="B83" s="4" t="s">
        <v>7</v>
      </c>
      <c r="C83" s="4" t="str">
        <f t="shared" si="1"/>
        <v>INSIGHT CORP</v>
      </c>
      <c r="D83" s="4" t="s">
        <v>23</v>
      </c>
      <c r="E83" s="4">
        <v>1</v>
      </c>
      <c r="F83" s="4">
        <v>10</v>
      </c>
      <c r="G83" s="19" t="s">
        <v>45</v>
      </c>
      <c r="H83" s="7">
        <v>46143</v>
      </c>
    </row>
    <row r="84" spans="1:8" x14ac:dyDescent="0.3">
      <c r="A84" s="5">
        <v>84</v>
      </c>
      <c r="B84" s="4" t="s">
        <v>19</v>
      </c>
      <c r="C84" s="4" t="str">
        <f t="shared" si="1"/>
        <v>DATASPHERE</v>
      </c>
      <c r="D84" s="4" t="s">
        <v>20</v>
      </c>
      <c r="E84" s="4">
        <v>1</v>
      </c>
      <c r="F84" s="4">
        <v>8</v>
      </c>
      <c r="G84" s="19" t="s">
        <v>47</v>
      </c>
      <c r="H84" s="7">
        <v>46143</v>
      </c>
    </row>
    <row r="85" spans="1:8" x14ac:dyDescent="0.3">
      <c r="A85" s="5">
        <v>85</v>
      </c>
      <c r="B85" s="4" t="s">
        <v>21</v>
      </c>
      <c r="C85" s="4" t="str">
        <f t="shared" si="1"/>
        <v>AIWORKS</v>
      </c>
      <c r="D85" s="4" t="s">
        <v>23</v>
      </c>
      <c r="E85" s="4">
        <v>3</v>
      </c>
      <c r="F85" s="4">
        <v>8</v>
      </c>
      <c r="G85" s="19" t="s">
        <v>49</v>
      </c>
      <c r="H85" s="7">
        <v>46143</v>
      </c>
    </row>
    <row r="86" spans="1:8" x14ac:dyDescent="0.3">
      <c r="A86" s="5">
        <v>86</v>
      </c>
      <c r="B86" s="4" t="s">
        <v>12</v>
      </c>
      <c r="C86" s="4" t="str">
        <f t="shared" si="1"/>
        <v>TECHNOVA</v>
      </c>
      <c r="D86" s="4" t="s">
        <v>13</v>
      </c>
      <c r="E86" s="4">
        <v>1</v>
      </c>
      <c r="F86" s="4">
        <v>4.5</v>
      </c>
      <c r="G86" s="19" t="s">
        <v>47</v>
      </c>
      <c r="H86" s="7"/>
    </row>
    <row r="87" spans="1:8" x14ac:dyDescent="0.3">
      <c r="A87" s="5">
        <v>87</v>
      </c>
      <c r="B87" s="4" t="s">
        <v>7</v>
      </c>
      <c r="C87" s="4" t="str">
        <f t="shared" si="1"/>
        <v>INSIGHT CORP</v>
      </c>
      <c r="D87" s="4" t="s">
        <v>20</v>
      </c>
      <c r="E87" s="4">
        <v>0</v>
      </c>
      <c r="F87" s="4">
        <v>10</v>
      </c>
      <c r="G87" s="19" t="s">
        <v>48</v>
      </c>
      <c r="H87" s="7">
        <v>46028</v>
      </c>
    </row>
    <row r="88" spans="1:8" x14ac:dyDescent="0.3">
      <c r="A88" s="5">
        <v>88</v>
      </c>
      <c r="B88" s="4" t="s">
        <v>16</v>
      </c>
      <c r="C88" s="4" t="str">
        <f t="shared" si="1"/>
        <v>TECHNOVA</v>
      </c>
      <c r="D88" s="4" t="s">
        <v>20</v>
      </c>
      <c r="E88" s="4">
        <v>2</v>
      </c>
      <c r="F88" s="4">
        <v>6</v>
      </c>
      <c r="G88" s="19" t="s">
        <v>48</v>
      </c>
      <c r="H88" s="7">
        <v>46028</v>
      </c>
    </row>
    <row r="89" spans="1:8" x14ac:dyDescent="0.3">
      <c r="A89" s="5">
        <v>89</v>
      </c>
      <c r="B89" s="4" t="s">
        <v>19</v>
      </c>
      <c r="C89" s="4" t="str">
        <f t="shared" si="1"/>
        <v>DATASPHERE</v>
      </c>
      <c r="D89" s="4" t="s">
        <v>13</v>
      </c>
      <c r="E89" s="4">
        <v>1</v>
      </c>
      <c r="F89" s="4">
        <v>10</v>
      </c>
      <c r="G89" s="19" t="s">
        <v>48</v>
      </c>
      <c r="H89" s="7"/>
    </row>
    <row r="90" spans="1:8" x14ac:dyDescent="0.3">
      <c r="A90" s="5">
        <v>90</v>
      </c>
      <c r="B90" s="4" t="s">
        <v>21</v>
      </c>
      <c r="C90" s="4" t="str">
        <f t="shared" si="1"/>
        <v>AIWORKS</v>
      </c>
      <c r="D90" s="4" t="s">
        <v>20</v>
      </c>
      <c r="E90" s="4">
        <v>1</v>
      </c>
      <c r="F90" s="4">
        <v>8</v>
      </c>
      <c r="G90" s="19" t="s">
        <v>49</v>
      </c>
      <c r="H90" s="7">
        <v>46143</v>
      </c>
    </row>
    <row r="91" spans="1:8" x14ac:dyDescent="0.3">
      <c r="A91" s="5">
        <v>91</v>
      </c>
      <c r="B91" s="4" t="s">
        <v>9</v>
      </c>
      <c r="C91" s="4" t="str">
        <f t="shared" si="1"/>
        <v>DATASPHERE</v>
      </c>
      <c r="D91" s="4" t="s">
        <v>10</v>
      </c>
      <c r="E91" s="4">
        <v>1</v>
      </c>
      <c r="F91" s="4">
        <v>10</v>
      </c>
      <c r="G91" s="19" t="s">
        <v>47</v>
      </c>
      <c r="H91" s="7">
        <v>46183</v>
      </c>
    </row>
    <row r="92" spans="1:8" x14ac:dyDescent="0.3">
      <c r="A92" s="5">
        <v>92</v>
      </c>
      <c r="B92" s="4" t="s">
        <v>9</v>
      </c>
      <c r="C92" s="4" t="str">
        <f t="shared" si="1"/>
        <v>DATASPHERE</v>
      </c>
      <c r="D92" s="4" t="s">
        <v>13</v>
      </c>
      <c r="E92" s="4">
        <v>1</v>
      </c>
      <c r="F92" s="4">
        <v>10</v>
      </c>
      <c r="G92" s="19" t="s">
        <v>49</v>
      </c>
      <c r="H92" s="7">
        <v>46028</v>
      </c>
    </row>
    <row r="93" spans="1:8" x14ac:dyDescent="0.3">
      <c r="A93" s="5">
        <v>93</v>
      </c>
      <c r="B93" s="4" t="s">
        <v>12</v>
      </c>
      <c r="C93" s="4" t="str">
        <f t="shared" si="1"/>
        <v>TECHNOVA</v>
      </c>
      <c r="D93" s="4" t="s">
        <v>23</v>
      </c>
      <c r="E93" s="4">
        <v>0</v>
      </c>
      <c r="F93" s="4">
        <v>8</v>
      </c>
      <c r="G93" s="19" t="s">
        <v>45</v>
      </c>
      <c r="H93" s="7">
        <v>46143</v>
      </c>
    </row>
    <row r="94" spans="1:8" x14ac:dyDescent="0.3">
      <c r="A94" s="5">
        <v>94</v>
      </c>
      <c r="B94" s="4" t="s">
        <v>12</v>
      </c>
      <c r="C94" s="4" t="str">
        <f t="shared" si="1"/>
        <v>TECHNOVA</v>
      </c>
      <c r="D94" s="4" t="s">
        <v>13</v>
      </c>
      <c r="E94" s="4">
        <v>3</v>
      </c>
      <c r="F94" s="4">
        <v>10</v>
      </c>
      <c r="G94" s="19" t="s">
        <v>47</v>
      </c>
      <c r="H94" s="7">
        <v>46028</v>
      </c>
    </row>
    <row r="95" spans="1:8" x14ac:dyDescent="0.3">
      <c r="A95" s="5">
        <v>95</v>
      </c>
      <c r="B95" s="4" t="s">
        <v>16</v>
      </c>
      <c r="C95" s="4" t="str">
        <f t="shared" si="1"/>
        <v>TECHNOVA</v>
      </c>
      <c r="D95" s="4" t="s">
        <v>17</v>
      </c>
      <c r="E95" s="4">
        <v>2</v>
      </c>
      <c r="F95" s="4">
        <v>4.5</v>
      </c>
      <c r="G95" s="19" t="s">
        <v>45</v>
      </c>
      <c r="H95" s="7">
        <v>46143</v>
      </c>
    </row>
    <row r="96" spans="1:8" x14ac:dyDescent="0.3">
      <c r="A96" s="5">
        <v>96</v>
      </c>
      <c r="B96" s="4" t="s">
        <v>9</v>
      </c>
      <c r="C96" s="4" t="str">
        <f t="shared" si="1"/>
        <v>DATASPHERE</v>
      </c>
      <c r="D96" s="4" t="s">
        <v>23</v>
      </c>
      <c r="E96" s="4">
        <v>1</v>
      </c>
      <c r="F96" s="4">
        <v>6</v>
      </c>
      <c r="G96" s="19" t="s">
        <v>45</v>
      </c>
      <c r="H96" s="7">
        <v>46183</v>
      </c>
    </row>
    <row r="97" spans="1:8" x14ac:dyDescent="0.3">
      <c r="A97" s="5">
        <v>97</v>
      </c>
      <c r="B97" s="4" t="s">
        <v>12</v>
      </c>
      <c r="C97" s="4" t="str">
        <f t="shared" si="1"/>
        <v>TECHNOVA</v>
      </c>
      <c r="D97" s="4" t="s">
        <v>13</v>
      </c>
      <c r="E97" s="4">
        <v>1</v>
      </c>
      <c r="F97" s="4">
        <v>8</v>
      </c>
      <c r="G97" s="19" t="s">
        <v>46</v>
      </c>
      <c r="H97" s="7">
        <v>46028</v>
      </c>
    </row>
    <row r="98" spans="1:8" x14ac:dyDescent="0.3">
      <c r="A98" s="5">
        <v>98</v>
      </c>
      <c r="B98" s="4" t="s">
        <v>9</v>
      </c>
      <c r="C98" s="4" t="str">
        <f t="shared" si="1"/>
        <v>DATASPHERE</v>
      </c>
      <c r="D98" s="4" t="s">
        <v>20</v>
      </c>
      <c r="E98" s="4">
        <v>1</v>
      </c>
      <c r="F98" s="4">
        <v>8</v>
      </c>
      <c r="G98" s="19" t="s">
        <v>48</v>
      </c>
      <c r="H98" s="7"/>
    </row>
    <row r="99" spans="1:8" x14ac:dyDescent="0.3">
      <c r="A99" s="5">
        <v>99</v>
      </c>
      <c r="B99" s="4" t="s">
        <v>7</v>
      </c>
      <c r="C99" s="4" t="str">
        <f t="shared" si="1"/>
        <v>INSIGHT CORP</v>
      </c>
      <c r="D99" s="4" t="s">
        <v>10</v>
      </c>
      <c r="E99" s="4">
        <v>0</v>
      </c>
      <c r="F99" s="4">
        <v>4.5</v>
      </c>
      <c r="G99" s="19" t="s">
        <v>45</v>
      </c>
      <c r="H99" s="7">
        <v>46143</v>
      </c>
    </row>
    <row r="100" spans="1:8" x14ac:dyDescent="0.3">
      <c r="A100" s="5">
        <v>100</v>
      </c>
      <c r="B100" s="4" t="s">
        <v>21</v>
      </c>
      <c r="C100" s="4" t="str">
        <f t="shared" si="1"/>
        <v>AIWORKS</v>
      </c>
      <c r="D100" s="4" t="s">
        <v>10</v>
      </c>
      <c r="E100" s="4">
        <v>2</v>
      </c>
      <c r="F100" s="4">
        <v>8</v>
      </c>
      <c r="G100" s="19" t="s">
        <v>46</v>
      </c>
      <c r="H100" s="7">
        <v>46143</v>
      </c>
    </row>
    <row r="101" spans="1:8" x14ac:dyDescent="0.3">
      <c r="A101" s="5">
        <v>101</v>
      </c>
      <c r="B101" s="4" t="s">
        <v>9</v>
      </c>
      <c r="C101" s="4" t="str">
        <f t="shared" si="1"/>
        <v>DATASPHERE</v>
      </c>
      <c r="D101" s="4" t="s">
        <v>13</v>
      </c>
      <c r="E101" s="4">
        <v>0</v>
      </c>
      <c r="F101" s="4">
        <v>4.5</v>
      </c>
      <c r="G101" s="19" t="s">
        <v>45</v>
      </c>
      <c r="H101" s="7">
        <v>46028</v>
      </c>
    </row>
    <row r="102" spans="1:8" x14ac:dyDescent="0.3">
      <c r="A102" s="5">
        <v>102</v>
      </c>
      <c r="B102" s="4" t="s">
        <v>19</v>
      </c>
      <c r="C102" s="4" t="str">
        <f t="shared" si="1"/>
        <v>DATASPHERE</v>
      </c>
      <c r="D102" s="4" t="s">
        <v>13</v>
      </c>
      <c r="E102" s="4">
        <v>0</v>
      </c>
      <c r="F102" s="4">
        <v>8</v>
      </c>
      <c r="G102" s="19" t="s">
        <v>47</v>
      </c>
      <c r="H102" s="7">
        <v>46028</v>
      </c>
    </row>
    <row r="103" spans="1:8" x14ac:dyDescent="0.3">
      <c r="A103" s="5">
        <v>103</v>
      </c>
      <c r="B103" s="4" t="s">
        <v>9</v>
      </c>
      <c r="C103" s="4" t="str">
        <f t="shared" si="1"/>
        <v>DATASPHERE</v>
      </c>
      <c r="D103" s="4" t="s">
        <v>10</v>
      </c>
      <c r="E103" s="4">
        <v>1</v>
      </c>
      <c r="F103" s="4">
        <v>8</v>
      </c>
      <c r="G103" s="19" t="s">
        <v>46</v>
      </c>
      <c r="H103" s="7">
        <v>46143</v>
      </c>
    </row>
    <row r="104" spans="1:8" x14ac:dyDescent="0.3">
      <c r="A104" s="5">
        <v>104</v>
      </c>
      <c r="B104" s="4" t="s">
        <v>7</v>
      </c>
      <c r="C104" s="4" t="str">
        <f t="shared" si="1"/>
        <v>INSIGHT CORP</v>
      </c>
      <c r="D104" s="4" t="s">
        <v>13</v>
      </c>
      <c r="E104" s="4">
        <v>2</v>
      </c>
      <c r="F104" s="4">
        <v>4.5</v>
      </c>
      <c r="G104" s="19" t="s">
        <v>46</v>
      </c>
      <c r="H104" s="7"/>
    </row>
    <row r="105" spans="1:8" x14ac:dyDescent="0.3">
      <c r="A105" s="5">
        <v>105</v>
      </c>
      <c r="B105" s="4" t="s">
        <v>21</v>
      </c>
      <c r="C105" s="4" t="str">
        <f t="shared" si="1"/>
        <v>AIWORKS</v>
      </c>
      <c r="D105" s="4" t="s">
        <v>13</v>
      </c>
      <c r="E105" s="4">
        <v>3</v>
      </c>
      <c r="F105" s="4">
        <v>4.5</v>
      </c>
      <c r="G105" s="19" t="s">
        <v>47</v>
      </c>
      <c r="H105" s="7">
        <v>46143</v>
      </c>
    </row>
    <row r="106" spans="1:8" x14ac:dyDescent="0.3">
      <c r="A106" s="5">
        <v>106</v>
      </c>
      <c r="B106" s="4" t="s">
        <v>16</v>
      </c>
      <c r="C106" s="4" t="str">
        <f t="shared" si="1"/>
        <v>TECHNOVA</v>
      </c>
      <c r="D106" s="4" t="s">
        <v>13</v>
      </c>
      <c r="E106" s="4">
        <v>1</v>
      </c>
      <c r="F106" s="4">
        <v>8</v>
      </c>
      <c r="G106" s="19" t="s">
        <v>46</v>
      </c>
      <c r="H106" s="7">
        <v>46183</v>
      </c>
    </row>
    <row r="107" spans="1:8" x14ac:dyDescent="0.3">
      <c r="A107" s="5">
        <v>107</v>
      </c>
      <c r="B107" s="4" t="s">
        <v>19</v>
      </c>
      <c r="C107" s="4" t="str">
        <f t="shared" si="1"/>
        <v>DATASPHERE</v>
      </c>
      <c r="D107" s="4" t="s">
        <v>17</v>
      </c>
      <c r="E107" s="4">
        <v>2</v>
      </c>
      <c r="F107" s="4">
        <v>6</v>
      </c>
      <c r="G107" s="19" t="s">
        <v>48</v>
      </c>
      <c r="H107" s="7"/>
    </row>
    <row r="108" spans="1:8" x14ac:dyDescent="0.3">
      <c r="A108" s="5">
        <v>108</v>
      </c>
      <c r="B108" s="4" t="s">
        <v>7</v>
      </c>
      <c r="C108" s="4" t="str">
        <f t="shared" si="1"/>
        <v>INSIGHT CORP</v>
      </c>
      <c r="D108" s="4" t="s">
        <v>20</v>
      </c>
      <c r="E108" s="4">
        <v>1</v>
      </c>
      <c r="F108" s="4">
        <v>6</v>
      </c>
      <c r="G108" s="19" t="s">
        <v>48</v>
      </c>
      <c r="H108" s="7">
        <v>46143</v>
      </c>
    </row>
    <row r="109" spans="1:8" x14ac:dyDescent="0.3">
      <c r="A109" s="5">
        <v>109</v>
      </c>
      <c r="B109" s="4" t="s">
        <v>9</v>
      </c>
      <c r="C109" s="4" t="str">
        <f t="shared" si="1"/>
        <v>DATASPHERE</v>
      </c>
      <c r="D109" s="4" t="s">
        <v>13</v>
      </c>
      <c r="E109" s="4">
        <v>0</v>
      </c>
      <c r="F109" s="4">
        <v>4.5</v>
      </c>
      <c r="G109" s="19" t="s">
        <v>46</v>
      </c>
      <c r="H109" s="7">
        <v>46143</v>
      </c>
    </row>
    <row r="110" spans="1:8" x14ac:dyDescent="0.3">
      <c r="A110" s="5">
        <v>110</v>
      </c>
      <c r="B110" s="4" t="s">
        <v>21</v>
      </c>
      <c r="C110" s="4" t="str">
        <f t="shared" si="1"/>
        <v>AIWORKS</v>
      </c>
      <c r="D110" s="4" t="s">
        <v>10</v>
      </c>
      <c r="E110" s="4">
        <v>3</v>
      </c>
      <c r="F110" s="4">
        <v>8</v>
      </c>
      <c r="G110" s="19" t="s">
        <v>49</v>
      </c>
      <c r="H110" s="7">
        <v>46028</v>
      </c>
    </row>
    <row r="111" spans="1:8" x14ac:dyDescent="0.3">
      <c r="A111" s="5">
        <v>111</v>
      </c>
      <c r="B111" s="4" t="s">
        <v>19</v>
      </c>
      <c r="C111" s="4" t="str">
        <f t="shared" si="1"/>
        <v>DATASPHERE</v>
      </c>
      <c r="D111" s="4" t="s">
        <v>20</v>
      </c>
      <c r="E111" s="4">
        <v>3</v>
      </c>
      <c r="F111" s="4">
        <v>8</v>
      </c>
      <c r="G111" s="19" t="s">
        <v>45</v>
      </c>
      <c r="H111" s="7">
        <v>46028</v>
      </c>
    </row>
    <row r="112" spans="1:8" x14ac:dyDescent="0.3">
      <c r="A112" s="5">
        <v>112</v>
      </c>
      <c r="B112" s="4" t="s">
        <v>19</v>
      </c>
      <c r="C112" s="4" t="str">
        <f t="shared" si="1"/>
        <v>DATASPHERE</v>
      </c>
      <c r="D112" s="4" t="s">
        <v>17</v>
      </c>
      <c r="E112" s="4">
        <v>1</v>
      </c>
      <c r="F112" s="4">
        <v>8</v>
      </c>
      <c r="G112" s="19" t="s">
        <v>48</v>
      </c>
      <c r="H112" s="7">
        <v>46028</v>
      </c>
    </row>
    <row r="113" spans="1:8" x14ac:dyDescent="0.3">
      <c r="A113" s="5">
        <v>113</v>
      </c>
      <c r="B113" s="4" t="s">
        <v>7</v>
      </c>
      <c r="C113" s="4" t="str">
        <f t="shared" si="1"/>
        <v>INSIGHT CORP</v>
      </c>
      <c r="D113" s="4" t="s">
        <v>13</v>
      </c>
      <c r="E113" s="4">
        <v>0</v>
      </c>
      <c r="F113" s="4">
        <v>8</v>
      </c>
      <c r="G113" s="19" t="s">
        <v>47</v>
      </c>
      <c r="H113" s="7">
        <v>46183</v>
      </c>
    </row>
    <row r="114" spans="1:8" x14ac:dyDescent="0.3">
      <c r="A114" s="5">
        <v>114</v>
      </c>
      <c r="B114" s="4" t="s">
        <v>12</v>
      </c>
      <c r="C114" s="4" t="str">
        <f t="shared" si="1"/>
        <v>TECHNOVA</v>
      </c>
      <c r="D114" s="4" t="s">
        <v>20</v>
      </c>
      <c r="E114" s="4">
        <v>1</v>
      </c>
      <c r="F114" s="4">
        <v>6</v>
      </c>
      <c r="G114" s="19" t="s">
        <v>49</v>
      </c>
      <c r="H114" s="7">
        <v>46028</v>
      </c>
    </row>
    <row r="115" spans="1:8" x14ac:dyDescent="0.3">
      <c r="A115" s="5">
        <v>115</v>
      </c>
      <c r="B115" s="4" t="s">
        <v>16</v>
      </c>
      <c r="C115" s="4" t="str">
        <f t="shared" si="1"/>
        <v>TECHNOVA</v>
      </c>
      <c r="D115" s="4" t="s">
        <v>23</v>
      </c>
      <c r="E115" s="4">
        <v>0</v>
      </c>
      <c r="F115" s="4">
        <v>8</v>
      </c>
      <c r="G115" s="19" t="s">
        <v>49</v>
      </c>
      <c r="H115" s="7"/>
    </row>
    <row r="116" spans="1:8" x14ac:dyDescent="0.3">
      <c r="A116" s="5">
        <v>116</v>
      </c>
      <c r="B116" s="4" t="s">
        <v>9</v>
      </c>
      <c r="C116" s="4" t="str">
        <f t="shared" si="1"/>
        <v>DATASPHERE</v>
      </c>
      <c r="D116" s="4" t="s">
        <v>17</v>
      </c>
      <c r="E116" s="4">
        <v>0</v>
      </c>
      <c r="F116" s="4">
        <v>8</v>
      </c>
      <c r="G116" s="19" t="s">
        <v>46</v>
      </c>
      <c r="H116" s="7"/>
    </row>
    <row r="117" spans="1:8" x14ac:dyDescent="0.3">
      <c r="A117" s="5">
        <v>117</v>
      </c>
      <c r="B117" s="4" t="s">
        <v>16</v>
      </c>
      <c r="C117" s="4" t="str">
        <f t="shared" si="1"/>
        <v>TECHNOVA</v>
      </c>
      <c r="D117" s="4" t="s">
        <v>10</v>
      </c>
      <c r="E117" s="4">
        <v>3</v>
      </c>
      <c r="F117" s="4">
        <v>8</v>
      </c>
      <c r="G117" s="19" t="s">
        <v>46</v>
      </c>
      <c r="H117" s="7">
        <v>46183</v>
      </c>
    </row>
    <row r="118" spans="1:8" x14ac:dyDescent="0.3">
      <c r="A118" s="5">
        <v>118</v>
      </c>
      <c r="B118" s="4" t="s">
        <v>7</v>
      </c>
      <c r="C118" s="4" t="str">
        <f t="shared" si="1"/>
        <v>INSIGHT CORP</v>
      </c>
      <c r="D118" s="4" t="s">
        <v>17</v>
      </c>
      <c r="E118" s="4">
        <v>1</v>
      </c>
      <c r="F118" s="4">
        <v>4.5</v>
      </c>
      <c r="G118" s="19" t="s">
        <v>46</v>
      </c>
      <c r="H118" s="7">
        <v>46028</v>
      </c>
    </row>
    <row r="119" spans="1:8" x14ac:dyDescent="0.3">
      <c r="A119" s="5">
        <v>119</v>
      </c>
      <c r="B119" s="4" t="s">
        <v>12</v>
      </c>
      <c r="C119" s="4" t="str">
        <f t="shared" si="1"/>
        <v>TECHNOVA</v>
      </c>
      <c r="D119" s="4" t="s">
        <v>10</v>
      </c>
      <c r="E119" s="4">
        <v>2</v>
      </c>
      <c r="F119" s="4">
        <v>4.5</v>
      </c>
      <c r="G119" s="19" t="s">
        <v>49</v>
      </c>
      <c r="H119" s="7"/>
    </row>
    <row r="120" spans="1:8" x14ac:dyDescent="0.3">
      <c r="A120" s="11">
        <v>120</v>
      </c>
      <c r="B120" s="12" t="s">
        <v>12</v>
      </c>
      <c r="C120" s="12" t="str">
        <f t="shared" si="1"/>
        <v>TECHNOVA</v>
      </c>
      <c r="D120" s="4" t="s">
        <v>23</v>
      </c>
      <c r="E120" s="12">
        <v>1</v>
      </c>
      <c r="F120" s="12">
        <v>4.5</v>
      </c>
      <c r="G120" s="19" t="s">
        <v>48</v>
      </c>
      <c r="H120" s="13">
        <v>46143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1"/>
  <sheetViews>
    <sheetView workbookViewId="0">
      <selection activeCell="I5" sqref="I5"/>
    </sheetView>
  </sheetViews>
  <sheetFormatPr defaultRowHeight="14.4" x14ac:dyDescent="0.3"/>
  <cols>
    <col min="1" max="1" width="25.77734375" customWidth="1"/>
    <col min="9" max="9" width="12" customWidth="1"/>
  </cols>
  <sheetData>
    <row r="2" spans="1:10" ht="18" x14ac:dyDescent="0.35">
      <c r="A2" s="6" t="s">
        <v>5</v>
      </c>
      <c r="I2" s="23" t="s">
        <v>50</v>
      </c>
      <c r="J2" s="24" t="s">
        <v>58</v>
      </c>
    </row>
    <row r="3" spans="1:10" x14ac:dyDescent="0.3">
      <c r="A3" s="20" t="s">
        <v>45</v>
      </c>
      <c r="I3" s="22" t="s">
        <v>51</v>
      </c>
      <c r="J3" s="19">
        <f>COUNTIF($A$3:$A$121,"*SQL*")</f>
        <v>69</v>
      </c>
    </row>
    <row r="4" spans="1:10" x14ac:dyDescent="0.3">
      <c r="A4" s="21" t="s">
        <v>46</v>
      </c>
      <c r="I4" s="22" t="s">
        <v>52</v>
      </c>
      <c r="J4" s="19">
        <f>COUNTIF($A$3:$A$121,"*PYTHON*")</f>
        <v>77</v>
      </c>
    </row>
    <row r="5" spans="1:10" ht="28.8" x14ac:dyDescent="0.3">
      <c r="A5" s="20" t="s">
        <v>47</v>
      </c>
      <c r="I5" s="22" t="s">
        <v>53</v>
      </c>
      <c r="J5" s="19">
        <f>COUNTIF($A$3:$A$121,"*POWER BI*")</f>
        <v>26</v>
      </c>
    </row>
    <row r="6" spans="1:10" x14ac:dyDescent="0.3">
      <c r="A6" s="21" t="s">
        <v>46</v>
      </c>
      <c r="I6" s="22" t="s">
        <v>54</v>
      </c>
      <c r="J6" s="19">
        <f>COUNTIF($A$3:$A$121,"*EXCEL*")</f>
        <v>19</v>
      </c>
    </row>
    <row r="7" spans="1:10" x14ac:dyDescent="0.3">
      <c r="A7" s="20" t="s">
        <v>48</v>
      </c>
      <c r="I7" s="25" t="s">
        <v>55</v>
      </c>
      <c r="J7" s="14">
        <f>COUNTIF($A$3:$A$121,"*TABLEAU*")</f>
        <v>27</v>
      </c>
    </row>
    <row r="8" spans="1:10" x14ac:dyDescent="0.3">
      <c r="A8" s="21" t="s">
        <v>47</v>
      </c>
    </row>
    <row r="9" spans="1:10" x14ac:dyDescent="0.3">
      <c r="A9" s="20" t="s">
        <v>49</v>
      </c>
    </row>
    <row r="10" spans="1:10" x14ac:dyDescent="0.3">
      <c r="A10" s="21" t="s">
        <v>48</v>
      </c>
    </row>
    <row r="11" spans="1:10" x14ac:dyDescent="0.3">
      <c r="A11" s="20" t="s">
        <v>48</v>
      </c>
    </row>
    <row r="12" spans="1:10" x14ac:dyDescent="0.3">
      <c r="A12" s="21" t="s">
        <v>48</v>
      </c>
    </row>
    <row r="13" spans="1:10" x14ac:dyDescent="0.3">
      <c r="A13" s="20" t="s">
        <v>49</v>
      </c>
    </row>
    <row r="14" spans="1:10" x14ac:dyDescent="0.3">
      <c r="A14" s="21" t="s">
        <v>46</v>
      </c>
    </row>
    <row r="15" spans="1:10" x14ac:dyDescent="0.3">
      <c r="A15" s="20" t="s">
        <v>48</v>
      </c>
    </row>
    <row r="16" spans="1:10" x14ac:dyDescent="0.3">
      <c r="A16" s="21" t="s">
        <v>46</v>
      </c>
    </row>
    <row r="17" spans="1:1" x14ac:dyDescent="0.3">
      <c r="A17" s="20" t="s">
        <v>48</v>
      </c>
    </row>
    <row r="18" spans="1:1" x14ac:dyDescent="0.3">
      <c r="A18" s="21" t="s">
        <v>46</v>
      </c>
    </row>
    <row r="19" spans="1:1" x14ac:dyDescent="0.3">
      <c r="A19" s="20" t="s">
        <v>45</v>
      </c>
    </row>
    <row r="20" spans="1:1" x14ac:dyDescent="0.3">
      <c r="A20" s="21" t="s">
        <v>45</v>
      </c>
    </row>
    <row r="21" spans="1:1" x14ac:dyDescent="0.3">
      <c r="A21" s="20" t="s">
        <v>49</v>
      </c>
    </row>
    <row r="22" spans="1:1" x14ac:dyDescent="0.3">
      <c r="A22" s="21" t="s">
        <v>49</v>
      </c>
    </row>
    <row r="23" spans="1:1" x14ac:dyDescent="0.3">
      <c r="A23" s="20" t="s">
        <v>45</v>
      </c>
    </row>
    <row r="24" spans="1:1" x14ac:dyDescent="0.3">
      <c r="A24" s="21" t="s">
        <v>47</v>
      </c>
    </row>
    <row r="25" spans="1:1" x14ac:dyDescent="0.3">
      <c r="A25" s="20" t="s">
        <v>49</v>
      </c>
    </row>
    <row r="26" spans="1:1" x14ac:dyDescent="0.3">
      <c r="A26" s="21" t="s">
        <v>46</v>
      </c>
    </row>
    <row r="27" spans="1:1" x14ac:dyDescent="0.3">
      <c r="A27" s="20" t="s">
        <v>48</v>
      </c>
    </row>
    <row r="28" spans="1:1" x14ac:dyDescent="0.3">
      <c r="A28" s="21" t="s">
        <v>49</v>
      </c>
    </row>
    <row r="29" spans="1:1" x14ac:dyDescent="0.3">
      <c r="A29" s="20" t="s">
        <v>46</v>
      </c>
    </row>
    <row r="30" spans="1:1" x14ac:dyDescent="0.3">
      <c r="A30" s="21" t="s">
        <v>49</v>
      </c>
    </row>
    <row r="31" spans="1:1" x14ac:dyDescent="0.3">
      <c r="A31" s="20" t="s">
        <v>46</v>
      </c>
    </row>
    <row r="32" spans="1:1" x14ac:dyDescent="0.3">
      <c r="A32" s="21" t="s">
        <v>49</v>
      </c>
    </row>
    <row r="33" spans="1:1" x14ac:dyDescent="0.3">
      <c r="A33" s="20" t="s">
        <v>46</v>
      </c>
    </row>
    <row r="34" spans="1:1" x14ac:dyDescent="0.3">
      <c r="A34" s="21" t="s">
        <v>48</v>
      </c>
    </row>
    <row r="35" spans="1:1" x14ac:dyDescent="0.3">
      <c r="A35" s="20" t="s">
        <v>47</v>
      </c>
    </row>
    <row r="36" spans="1:1" x14ac:dyDescent="0.3">
      <c r="A36" s="21" t="s">
        <v>45</v>
      </c>
    </row>
    <row r="37" spans="1:1" x14ac:dyDescent="0.3">
      <c r="A37" s="20" t="s">
        <v>49</v>
      </c>
    </row>
    <row r="38" spans="1:1" x14ac:dyDescent="0.3">
      <c r="A38" s="21" t="s">
        <v>45</v>
      </c>
    </row>
    <row r="39" spans="1:1" x14ac:dyDescent="0.3">
      <c r="A39" s="20" t="s">
        <v>47</v>
      </c>
    </row>
    <row r="40" spans="1:1" x14ac:dyDescent="0.3">
      <c r="A40" s="21" t="s">
        <v>49</v>
      </c>
    </row>
    <row r="41" spans="1:1" x14ac:dyDescent="0.3">
      <c r="A41" s="20" t="s">
        <v>45</v>
      </c>
    </row>
    <row r="42" spans="1:1" x14ac:dyDescent="0.3">
      <c r="A42" s="21" t="s">
        <v>45</v>
      </c>
    </row>
    <row r="43" spans="1:1" x14ac:dyDescent="0.3">
      <c r="A43" s="20" t="s">
        <v>49</v>
      </c>
    </row>
    <row r="44" spans="1:1" x14ac:dyDescent="0.3">
      <c r="A44" s="21" t="s">
        <v>48</v>
      </c>
    </row>
    <row r="45" spans="1:1" x14ac:dyDescent="0.3">
      <c r="A45" s="20" t="s">
        <v>45</v>
      </c>
    </row>
    <row r="46" spans="1:1" x14ac:dyDescent="0.3">
      <c r="A46" s="21" t="s">
        <v>48</v>
      </c>
    </row>
    <row r="47" spans="1:1" x14ac:dyDescent="0.3">
      <c r="A47" s="20" t="s">
        <v>48</v>
      </c>
    </row>
    <row r="48" spans="1:1" x14ac:dyDescent="0.3">
      <c r="A48" s="21" t="s">
        <v>47</v>
      </c>
    </row>
    <row r="49" spans="1:1" x14ac:dyDescent="0.3">
      <c r="A49" s="20" t="s">
        <v>45</v>
      </c>
    </row>
    <row r="50" spans="1:1" x14ac:dyDescent="0.3">
      <c r="A50" s="21" t="s">
        <v>48</v>
      </c>
    </row>
    <row r="51" spans="1:1" x14ac:dyDescent="0.3">
      <c r="A51" s="20" t="s">
        <v>49</v>
      </c>
    </row>
    <row r="52" spans="1:1" x14ac:dyDescent="0.3">
      <c r="A52" s="21" t="s">
        <v>49</v>
      </c>
    </row>
    <row r="53" spans="1:1" x14ac:dyDescent="0.3">
      <c r="A53" s="20" t="s">
        <v>47</v>
      </c>
    </row>
    <row r="54" spans="1:1" x14ac:dyDescent="0.3">
      <c r="A54" s="21" t="s">
        <v>47</v>
      </c>
    </row>
    <row r="55" spans="1:1" x14ac:dyDescent="0.3">
      <c r="A55" s="20" t="s">
        <v>49</v>
      </c>
    </row>
    <row r="56" spans="1:1" x14ac:dyDescent="0.3">
      <c r="A56" s="21" t="s">
        <v>46</v>
      </c>
    </row>
    <row r="57" spans="1:1" x14ac:dyDescent="0.3">
      <c r="A57" s="20" t="s">
        <v>47</v>
      </c>
    </row>
    <row r="58" spans="1:1" x14ac:dyDescent="0.3">
      <c r="A58" s="21" t="s">
        <v>46</v>
      </c>
    </row>
    <row r="59" spans="1:1" x14ac:dyDescent="0.3">
      <c r="A59" s="20" t="s">
        <v>47</v>
      </c>
    </row>
    <row r="60" spans="1:1" x14ac:dyDescent="0.3">
      <c r="A60" s="21" t="s">
        <v>48</v>
      </c>
    </row>
    <row r="61" spans="1:1" x14ac:dyDescent="0.3">
      <c r="A61" s="20" t="s">
        <v>47</v>
      </c>
    </row>
    <row r="62" spans="1:1" x14ac:dyDescent="0.3">
      <c r="A62" s="21" t="s">
        <v>49</v>
      </c>
    </row>
    <row r="63" spans="1:1" x14ac:dyDescent="0.3">
      <c r="A63" s="20" t="s">
        <v>45</v>
      </c>
    </row>
    <row r="64" spans="1:1" x14ac:dyDescent="0.3">
      <c r="A64" s="21" t="s">
        <v>49</v>
      </c>
    </row>
    <row r="65" spans="1:1" x14ac:dyDescent="0.3">
      <c r="A65" s="20" t="s">
        <v>47</v>
      </c>
    </row>
    <row r="66" spans="1:1" x14ac:dyDescent="0.3">
      <c r="A66" s="21" t="s">
        <v>47</v>
      </c>
    </row>
    <row r="67" spans="1:1" x14ac:dyDescent="0.3">
      <c r="A67" s="20" t="s">
        <v>47</v>
      </c>
    </row>
    <row r="68" spans="1:1" x14ac:dyDescent="0.3">
      <c r="A68" s="21" t="s">
        <v>48</v>
      </c>
    </row>
    <row r="69" spans="1:1" x14ac:dyDescent="0.3">
      <c r="A69" s="20" t="s">
        <v>46</v>
      </c>
    </row>
    <row r="70" spans="1:1" x14ac:dyDescent="0.3">
      <c r="A70" s="21" t="s">
        <v>49</v>
      </c>
    </row>
    <row r="71" spans="1:1" x14ac:dyDescent="0.3">
      <c r="A71" s="20" t="s">
        <v>47</v>
      </c>
    </row>
    <row r="72" spans="1:1" x14ac:dyDescent="0.3">
      <c r="A72" s="21" t="s">
        <v>46</v>
      </c>
    </row>
    <row r="73" spans="1:1" x14ac:dyDescent="0.3">
      <c r="A73" s="20" t="s">
        <v>48</v>
      </c>
    </row>
    <row r="74" spans="1:1" x14ac:dyDescent="0.3">
      <c r="A74" s="21" t="s">
        <v>46</v>
      </c>
    </row>
    <row r="75" spans="1:1" x14ac:dyDescent="0.3">
      <c r="A75" s="20" t="s">
        <v>48</v>
      </c>
    </row>
    <row r="76" spans="1:1" x14ac:dyDescent="0.3">
      <c r="A76" s="21" t="s">
        <v>46</v>
      </c>
    </row>
    <row r="77" spans="1:1" x14ac:dyDescent="0.3">
      <c r="A77" s="20" t="s">
        <v>49</v>
      </c>
    </row>
    <row r="78" spans="1:1" x14ac:dyDescent="0.3">
      <c r="A78" s="21" t="s">
        <v>46</v>
      </c>
    </row>
    <row r="79" spans="1:1" x14ac:dyDescent="0.3">
      <c r="A79" s="20" t="s">
        <v>49</v>
      </c>
    </row>
    <row r="80" spans="1:1" x14ac:dyDescent="0.3">
      <c r="A80" s="21" t="s">
        <v>45</v>
      </c>
    </row>
    <row r="81" spans="1:1" x14ac:dyDescent="0.3">
      <c r="A81" s="20" t="s">
        <v>46</v>
      </c>
    </row>
    <row r="82" spans="1:1" x14ac:dyDescent="0.3">
      <c r="A82" s="21" t="s">
        <v>47</v>
      </c>
    </row>
    <row r="83" spans="1:1" x14ac:dyDescent="0.3">
      <c r="A83" s="20" t="s">
        <v>46</v>
      </c>
    </row>
    <row r="84" spans="1:1" x14ac:dyDescent="0.3">
      <c r="A84" s="21" t="s">
        <v>45</v>
      </c>
    </row>
    <row r="85" spans="1:1" x14ac:dyDescent="0.3">
      <c r="A85" s="20" t="s">
        <v>47</v>
      </c>
    </row>
    <row r="86" spans="1:1" x14ac:dyDescent="0.3">
      <c r="A86" s="21" t="s">
        <v>49</v>
      </c>
    </row>
    <row r="87" spans="1:1" x14ac:dyDescent="0.3">
      <c r="A87" s="20" t="s">
        <v>47</v>
      </c>
    </row>
    <row r="88" spans="1:1" x14ac:dyDescent="0.3">
      <c r="A88" s="21" t="s">
        <v>48</v>
      </c>
    </row>
    <row r="89" spans="1:1" x14ac:dyDescent="0.3">
      <c r="A89" s="20" t="s">
        <v>48</v>
      </c>
    </row>
    <row r="90" spans="1:1" x14ac:dyDescent="0.3">
      <c r="A90" s="21" t="s">
        <v>48</v>
      </c>
    </row>
    <row r="91" spans="1:1" x14ac:dyDescent="0.3">
      <c r="A91" s="20" t="s">
        <v>49</v>
      </c>
    </row>
    <row r="92" spans="1:1" x14ac:dyDescent="0.3">
      <c r="A92" s="21" t="s">
        <v>47</v>
      </c>
    </row>
    <row r="93" spans="1:1" x14ac:dyDescent="0.3">
      <c r="A93" s="20" t="s">
        <v>49</v>
      </c>
    </row>
    <row r="94" spans="1:1" x14ac:dyDescent="0.3">
      <c r="A94" s="21" t="s">
        <v>45</v>
      </c>
    </row>
    <row r="95" spans="1:1" x14ac:dyDescent="0.3">
      <c r="A95" s="20" t="s">
        <v>47</v>
      </c>
    </row>
    <row r="96" spans="1:1" x14ac:dyDescent="0.3">
      <c r="A96" s="21" t="s">
        <v>45</v>
      </c>
    </row>
    <row r="97" spans="1:1" x14ac:dyDescent="0.3">
      <c r="A97" s="20" t="s">
        <v>45</v>
      </c>
    </row>
    <row r="98" spans="1:1" x14ac:dyDescent="0.3">
      <c r="A98" s="21" t="s">
        <v>46</v>
      </c>
    </row>
    <row r="99" spans="1:1" x14ac:dyDescent="0.3">
      <c r="A99" s="20" t="s">
        <v>48</v>
      </c>
    </row>
    <row r="100" spans="1:1" x14ac:dyDescent="0.3">
      <c r="A100" s="21" t="s">
        <v>45</v>
      </c>
    </row>
    <row r="101" spans="1:1" x14ac:dyDescent="0.3">
      <c r="A101" s="20" t="s">
        <v>46</v>
      </c>
    </row>
    <row r="102" spans="1:1" x14ac:dyDescent="0.3">
      <c r="A102" s="21" t="s">
        <v>45</v>
      </c>
    </row>
    <row r="103" spans="1:1" x14ac:dyDescent="0.3">
      <c r="A103" s="20" t="s">
        <v>47</v>
      </c>
    </row>
    <row r="104" spans="1:1" x14ac:dyDescent="0.3">
      <c r="A104" s="21" t="s">
        <v>46</v>
      </c>
    </row>
    <row r="105" spans="1:1" x14ac:dyDescent="0.3">
      <c r="A105" s="20" t="s">
        <v>46</v>
      </c>
    </row>
    <row r="106" spans="1:1" x14ac:dyDescent="0.3">
      <c r="A106" s="21" t="s">
        <v>47</v>
      </c>
    </row>
    <row r="107" spans="1:1" x14ac:dyDescent="0.3">
      <c r="A107" s="20" t="s">
        <v>46</v>
      </c>
    </row>
    <row r="108" spans="1:1" x14ac:dyDescent="0.3">
      <c r="A108" s="21" t="s">
        <v>48</v>
      </c>
    </row>
    <row r="109" spans="1:1" x14ac:dyDescent="0.3">
      <c r="A109" s="20" t="s">
        <v>48</v>
      </c>
    </row>
    <row r="110" spans="1:1" x14ac:dyDescent="0.3">
      <c r="A110" s="21" t="s">
        <v>46</v>
      </c>
    </row>
    <row r="111" spans="1:1" x14ac:dyDescent="0.3">
      <c r="A111" s="20" t="s">
        <v>49</v>
      </c>
    </row>
    <row r="112" spans="1:1" x14ac:dyDescent="0.3">
      <c r="A112" s="21" t="s">
        <v>45</v>
      </c>
    </row>
    <row r="113" spans="1:1" x14ac:dyDescent="0.3">
      <c r="A113" s="20" t="s">
        <v>48</v>
      </c>
    </row>
    <row r="114" spans="1:1" x14ac:dyDescent="0.3">
      <c r="A114" s="21" t="s">
        <v>47</v>
      </c>
    </row>
    <row r="115" spans="1:1" x14ac:dyDescent="0.3">
      <c r="A115" s="20" t="s">
        <v>49</v>
      </c>
    </row>
    <row r="116" spans="1:1" x14ac:dyDescent="0.3">
      <c r="A116" s="21" t="s">
        <v>49</v>
      </c>
    </row>
    <row r="117" spans="1:1" x14ac:dyDescent="0.3">
      <c r="A117" s="20" t="s">
        <v>46</v>
      </c>
    </row>
    <row r="118" spans="1:1" x14ac:dyDescent="0.3">
      <c r="A118" s="21" t="s">
        <v>46</v>
      </c>
    </row>
    <row r="119" spans="1:1" x14ac:dyDescent="0.3">
      <c r="A119" s="20" t="s">
        <v>46</v>
      </c>
    </row>
    <row r="120" spans="1:1" x14ac:dyDescent="0.3">
      <c r="A120" s="21" t="s">
        <v>49</v>
      </c>
    </row>
    <row r="121" spans="1:1" x14ac:dyDescent="0.3">
      <c r="A121" s="20" t="s">
        <v>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K20"/>
  <sheetViews>
    <sheetView showGridLines="0" workbookViewId="0">
      <selection activeCell="J22" sqref="J22"/>
    </sheetView>
  </sheetViews>
  <sheetFormatPr defaultRowHeight="14.4" x14ac:dyDescent="0.3"/>
  <cols>
    <col min="1" max="1" width="18.21875" bestFit="1" customWidth="1"/>
    <col min="2" max="2" width="14.21875" bestFit="1" customWidth="1"/>
    <col min="3" max="3" width="6.5546875" customWidth="1"/>
    <col min="4" max="4" width="12.5546875" customWidth="1"/>
    <col min="5" max="5" width="14.21875" bestFit="1" customWidth="1"/>
    <col min="6" max="6" width="6.109375" customWidth="1"/>
    <col min="7" max="7" width="12.77734375" customWidth="1"/>
    <col min="8" max="8" width="19.21875" customWidth="1"/>
    <col min="9" max="9" width="6.33203125" customWidth="1"/>
    <col min="10" max="10" width="12.5546875" customWidth="1"/>
    <col min="11" max="11" width="14.21875" customWidth="1"/>
    <col min="12" max="12" width="12.77734375" bestFit="1" customWidth="1"/>
  </cols>
  <sheetData>
    <row r="10" spans="1:11" x14ac:dyDescent="0.3">
      <c r="A10" s="15" t="s">
        <v>27</v>
      </c>
      <c r="B10" t="s">
        <v>33</v>
      </c>
      <c r="D10" s="15" t="s">
        <v>27</v>
      </c>
      <c r="E10" t="s">
        <v>33</v>
      </c>
      <c r="G10" s="15" t="s">
        <v>27</v>
      </c>
      <c r="H10" t="s">
        <v>40</v>
      </c>
      <c r="J10" s="15" t="s">
        <v>27</v>
      </c>
      <c r="K10" t="s">
        <v>33</v>
      </c>
    </row>
    <row r="11" spans="1:11" x14ac:dyDescent="0.3">
      <c r="A11" s="16" t="s">
        <v>28</v>
      </c>
      <c r="B11" s="2">
        <v>14</v>
      </c>
      <c r="D11" s="16" t="s">
        <v>13</v>
      </c>
      <c r="E11" s="2">
        <v>40</v>
      </c>
      <c r="G11" s="16" t="s">
        <v>28</v>
      </c>
      <c r="H11" s="18">
        <v>7.8928571428571432</v>
      </c>
      <c r="J11" s="16">
        <v>0</v>
      </c>
      <c r="K11" s="2">
        <v>24</v>
      </c>
    </row>
    <row r="12" spans="1:11" x14ac:dyDescent="0.3">
      <c r="A12" s="16" t="s">
        <v>29</v>
      </c>
      <c r="B12" s="2">
        <v>44</v>
      </c>
      <c r="D12" s="16" t="s">
        <v>17</v>
      </c>
      <c r="E12" s="2">
        <v>17</v>
      </c>
      <c r="G12" s="16" t="s">
        <v>29</v>
      </c>
      <c r="H12" s="18">
        <v>7.8181818181818183</v>
      </c>
      <c r="J12" s="16">
        <v>1</v>
      </c>
      <c r="K12" s="2">
        <v>52</v>
      </c>
    </row>
    <row r="13" spans="1:11" x14ac:dyDescent="0.3">
      <c r="A13" s="16" t="s">
        <v>30</v>
      </c>
      <c r="B13" s="2">
        <v>19</v>
      </c>
      <c r="D13" s="16" t="s">
        <v>20</v>
      </c>
      <c r="E13" s="2">
        <v>20</v>
      </c>
      <c r="G13" s="16" t="s">
        <v>30</v>
      </c>
      <c r="H13" s="18">
        <v>7.2368421052631575</v>
      </c>
      <c r="J13" s="16">
        <v>2</v>
      </c>
      <c r="K13" s="2">
        <v>20</v>
      </c>
    </row>
    <row r="14" spans="1:11" x14ac:dyDescent="0.3">
      <c r="A14" s="16" t="s">
        <v>31</v>
      </c>
      <c r="B14" s="2">
        <v>42</v>
      </c>
      <c r="D14" s="16" t="s">
        <v>10</v>
      </c>
      <c r="E14" s="2">
        <v>26</v>
      </c>
      <c r="G14" s="16" t="s">
        <v>31</v>
      </c>
      <c r="H14" s="18">
        <v>7.1428571428571432</v>
      </c>
      <c r="J14" s="16">
        <v>3</v>
      </c>
      <c r="K14" s="2">
        <v>23</v>
      </c>
    </row>
    <row r="15" spans="1:11" x14ac:dyDescent="0.3">
      <c r="A15" s="16" t="s">
        <v>32</v>
      </c>
      <c r="B15" s="2">
        <v>119</v>
      </c>
      <c r="D15" s="16" t="s">
        <v>23</v>
      </c>
      <c r="E15" s="2">
        <v>16</v>
      </c>
      <c r="G15" s="16" t="s">
        <v>32</v>
      </c>
      <c r="H15" s="18">
        <v>7.4957983193277311</v>
      </c>
      <c r="J15" s="16" t="s">
        <v>32</v>
      </c>
      <c r="K15" s="2">
        <v>119</v>
      </c>
    </row>
    <row r="16" spans="1:11" x14ac:dyDescent="0.3">
      <c r="A16" s="16"/>
      <c r="B16" s="2"/>
      <c r="D16" s="16" t="s">
        <v>32</v>
      </c>
      <c r="E16" s="2">
        <v>119</v>
      </c>
    </row>
    <row r="17" spans="1:2" x14ac:dyDescent="0.3">
      <c r="A17" s="16"/>
      <c r="B17" s="2"/>
    </row>
    <row r="18" spans="1:2" x14ac:dyDescent="0.3">
      <c r="A18" s="16"/>
      <c r="B18" s="2"/>
    </row>
    <row r="19" spans="1:2" x14ac:dyDescent="0.3">
      <c r="A19" s="16"/>
      <c r="B19" s="2"/>
    </row>
    <row r="20" spans="1:2" x14ac:dyDescent="0.3">
      <c r="A20" s="16"/>
      <c r="B20" s="2"/>
    </row>
  </sheetData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22"/>
  <sheetViews>
    <sheetView tabSelected="1" workbookViewId="0">
      <selection activeCell="R27" sqref="R27"/>
    </sheetView>
  </sheetViews>
  <sheetFormatPr defaultRowHeight="14.4" x14ac:dyDescent="0.3"/>
  <sheetData>
    <row r="22" spans="5:5" ht="18" x14ac:dyDescent="0.3">
      <c r="E22" s="26"/>
    </row>
  </sheetData>
  <pageMargins left="0.25" right="0.25" top="0.75" bottom="0.75" header="0.3" footer="0.3"/>
  <pageSetup scale="8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11" sqref="A11"/>
    </sheetView>
  </sheetViews>
  <sheetFormatPr defaultRowHeight="14.4" x14ac:dyDescent="0.3"/>
  <cols>
    <col min="1" max="1" width="13.44140625" customWidth="1"/>
  </cols>
  <sheetData>
    <row r="1" spans="1:2" x14ac:dyDescent="0.3">
      <c r="A1" s="17" t="s">
        <v>34</v>
      </c>
    </row>
    <row r="3" spans="1:2" x14ac:dyDescent="0.3">
      <c r="A3" s="17" t="s">
        <v>35</v>
      </c>
      <c r="B3" t="s">
        <v>36</v>
      </c>
    </row>
    <row r="5" spans="1:2" x14ac:dyDescent="0.3">
      <c r="A5" s="17" t="s">
        <v>38</v>
      </c>
      <c r="B5" t="s">
        <v>37</v>
      </c>
    </row>
    <row r="7" spans="1:2" x14ac:dyDescent="0.3">
      <c r="A7" s="17" t="s">
        <v>42</v>
      </c>
      <c r="B7" t="s">
        <v>41</v>
      </c>
    </row>
    <row r="9" spans="1:2" x14ac:dyDescent="0.3">
      <c r="A9" s="17" t="s">
        <v>44</v>
      </c>
      <c r="B9" t="s">
        <v>43</v>
      </c>
    </row>
    <row r="11" spans="1:2" x14ac:dyDescent="0.3">
      <c r="A11" s="17" t="s">
        <v>57</v>
      </c>
      <c r="B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Data_Analyst_Job_Market_Messy_D</vt:lpstr>
      <vt:lpstr>raw_Data Sheet</vt:lpstr>
      <vt:lpstr>Cleaned_Sheet_job_analysis</vt:lpstr>
      <vt:lpstr>Skill_Analysis</vt:lpstr>
      <vt:lpstr> Pivot table Analysis</vt:lpstr>
      <vt:lpstr>Dashboard</vt:lpstr>
      <vt:lpstr>Inshights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2026-06-24T06:03:23Z</cp:lastPrinted>
  <dcterms:created xsi:type="dcterms:W3CDTF">2026-06-24T05:51:07Z</dcterms:created>
  <dcterms:modified xsi:type="dcterms:W3CDTF">2026-06-24T06:07:50Z</dcterms:modified>
</cp:coreProperties>
</file>